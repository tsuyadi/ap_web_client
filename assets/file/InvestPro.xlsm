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09" codeName="{51196F13-6AD0-C1B8-E2B4-A1F9AE17003E}"/>
  <workbookPr codeName="ThisWorkbook"/>
  <mc:AlternateContent xmlns:mc="http://schemas.openxmlformats.org/markup-compatibility/2006">
    <mc:Choice Requires="x15">
      <x15ac:absPath xmlns:x15ac="http://schemas.microsoft.com/office/spreadsheetml/2010/11/ac" url="/Users/yesiska/Downloads/"/>
    </mc:Choice>
  </mc:AlternateContent>
  <xr:revisionPtr revIDLastSave="0" documentId="13_ncr:8001_{42FA0C4B-C71C-3445-ADAC-DCF4D24883E1}" xr6:coauthVersionLast="37" xr6:coauthVersionMax="37" xr10:uidLastSave="{00000000-0000-0000-0000-000000000000}"/>
  <bookViews>
    <workbookView xWindow="0" yWindow="460" windowWidth="23040" windowHeight="11000" xr2:uid="{00000000-000D-0000-FFFF-FFFF00000000}"/>
  </bookViews>
  <sheets>
    <sheet name="Input" sheetId="1" r:id="rId1"/>
    <sheet name="Job" sheetId="3" state="hidden" r:id="rId2"/>
    <sheet name="For Output" sheetId="4" state="hidden" r:id="rId3"/>
    <sheet name="Output" sheetId="2" r:id="rId4"/>
  </sheets>
  <definedNames>
    <definedName name="Data_Output">'For Output'!$B$15</definedName>
    <definedName name="FC_Code">Input!$D$54</definedName>
    <definedName name="FC_Name">Input!$D$53</definedName>
    <definedName name="Footer">'For Output'!$B$33</definedName>
    <definedName name="In_Age">Input!$D$38</definedName>
    <definedName name="In_DoB">Input!$D$37</definedName>
    <definedName name="In_Job">Input!$D$39</definedName>
    <definedName name="In_Name">Input!$D$35</definedName>
    <definedName name="In_Output">'For Output'!$B$3</definedName>
    <definedName name="In_Sex">Input!$D$36</definedName>
    <definedName name="Job">Job!$B$3:$B$47</definedName>
    <definedName name="Manfaat">'For Output'!#REF!</definedName>
    <definedName name="Office">Input!$D$55</definedName>
    <definedName name="PH_Age">Input!$D$27</definedName>
    <definedName name="PH_DoB">Input!$D$26</definedName>
    <definedName name="PH_In">Input!$B$31</definedName>
    <definedName name="PH_Job">Input!$D$28</definedName>
    <definedName name="PH_Name">Input!$D$24</definedName>
    <definedName name="PH_Output">'For Output'!$B$9</definedName>
    <definedName name="PH_Sex">Input!$D$25</definedName>
    <definedName name="_xlnm.Print_Area" localSheetId="3">Output!$A$1:$J$52,Output!$A$55:$J$104,Output!$A$106:$J$164,Output!$A$166:$J$216,Output!$A$218:$J$270</definedName>
    <definedName name="SA">Input!$D$47</definedName>
    <definedName name="Single_Prem">Input!$D$44</definedName>
    <definedName name="STU">Input!$D$45</definedName>
    <definedName name="Total_Prem">Input!$D$46</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7" i="1" l="1"/>
  <c r="A109" i="2" l="1"/>
  <c r="A169" i="2"/>
  <c r="A58" i="2"/>
  <c r="A221" i="2"/>
  <c r="A4" i="2"/>
  <c r="D27" i="1" l="1"/>
  <c r="B33" i="4" l="1"/>
  <c r="B17" i="1" l="1"/>
  <c r="D38" i="1" l="1"/>
  <c r="J27" i="4" l="1"/>
  <c r="H88" i="2" s="1"/>
  <c r="F88" i="2"/>
  <c r="C23" i="4"/>
  <c r="G26" i="4" s="1"/>
  <c r="I69" i="2" s="1"/>
  <c r="F23" i="4" l="1"/>
  <c r="G66" i="2" s="1"/>
  <c r="G27" i="4"/>
  <c r="I70" i="2" s="1"/>
  <c r="G23" i="4"/>
  <c r="G24" i="4"/>
  <c r="I67" i="2" s="1"/>
  <c r="G25" i="4"/>
  <c r="I68" i="2" s="1"/>
  <c r="C24" i="4" l="1"/>
  <c r="I66" i="2"/>
  <c r="D84" i="2" l="1"/>
  <c r="H23" i="4"/>
  <c r="F84" i="2" s="1"/>
  <c r="J23" i="4"/>
  <c r="H84" i="2" s="1"/>
  <c r="F24" i="4"/>
  <c r="C25" i="4"/>
  <c r="C26" i="4" l="1"/>
  <c r="D85" i="2"/>
  <c r="H24" i="4"/>
  <c r="F85" i="2" s="1"/>
  <c r="J24" i="4"/>
  <c r="H85" i="2" s="1"/>
  <c r="F25" i="4"/>
  <c r="G68" i="2" s="1"/>
  <c r="G67" i="2"/>
  <c r="D66" i="2"/>
  <c r="D45" i="1"/>
  <c r="E66" i="2" s="1"/>
  <c r="B15" i="4" l="1"/>
  <c r="D86" i="2"/>
  <c r="H25" i="4"/>
  <c r="F86" i="2" s="1"/>
  <c r="J25" i="4"/>
  <c r="H86" i="2" s="1"/>
  <c r="C27" i="4"/>
  <c r="F26" i="4"/>
  <c r="H9" i="4"/>
  <c r="H3" i="4"/>
  <c r="B3" i="4" l="1"/>
  <c r="G69" i="2"/>
  <c r="D87" i="2"/>
  <c r="H26" i="4"/>
  <c r="F87" i="2" s="1"/>
  <c r="J26" i="4"/>
  <c r="H87" i="2" s="1"/>
  <c r="F27" i="4"/>
  <c r="G70" i="2" s="1"/>
  <c r="C86" i="2"/>
  <c r="C85" i="2"/>
  <c r="C84" i="2"/>
  <c r="C87" i="2"/>
  <c r="C88" i="2"/>
  <c r="C66" i="2"/>
  <c r="C69" i="2"/>
  <c r="C68" i="2"/>
  <c r="C67" i="2"/>
  <c r="C70" i="2"/>
  <c r="B9" i="4"/>
  <c r="G28" i="4" l="1"/>
  <c r="G71" i="2" s="1"/>
</calcChain>
</file>

<file path=xl/sharedStrings.xml><?xml version="1.0" encoding="utf-8"?>
<sst xmlns="http://schemas.openxmlformats.org/spreadsheetml/2006/main" count="211" uniqueCount="162">
  <si>
    <t>Nama Calon Tertanggung</t>
  </si>
  <si>
    <t>Jenis Kelamin</t>
  </si>
  <si>
    <t>Pria</t>
  </si>
  <si>
    <t>Tanggal Lahir</t>
  </si>
  <si>
    <t>:</t>
  </si>
  <si>
    <t>Pekerjaan</t>
  </si>
  <si>
    <t>Agen Penjualan</t>
  </si>
  <si>
    <t>Akuntan Publik</t>
  </si>
  <si>
    <t>Arsitek</t>
  </si>
  <si>
    <t>Belum Sekolah</t>
  </si>
  <si>
    <t>Buruh</t>
  </si>
  <si>
    <t>Direksi/Komisaris/Pimpinan</t>
  </si>
  <si>
    <t>Entertainer</t>
  </si>
  <si>
    <t>Hakim/Jaksa/Penyidik/Panitera</t>
  </si>
  <si>
    <t>Ibu Rumah Tangga</t>
  </si>
  <si>
    <t>Karyawan</t>
  </si>
  <si>
    <t>Kepolisian</t>
  </si>
  <si>
    <t>Koki</t>
  </si>
  <si>
    <t>Konsultan Pajak</t>
  </si>
  <si>
    <t>Masinis</t>
  </si>
  <si>
    <t>Mekanik</t>
  </si>
  <si>
    <t>Nelayan</t>
  </si>
  <si>
    <t>Notaris</t>
  </si>
  <si>
    <t>Operator Mesin</t>
  </si>
  <si>
    <t>Pedagang</t>
  </si>
  <si>
    <t>Pegawai BUMN/BUMD/Per.Negara</t>
  </si>
  <si>
    <t>Pegawai Negeri</t>
  </si>
  <si>
    <t>Pegawai Penyedia Jasa Keuangan</t>
  </si>
  <si>
    <t>Pegawai Swasta</t>
  </si>
  <si>
    <t>Pejabat Negara-setara Eselon 1</t>
  </si>
  <si>
    <t>Pejabat Negara-setara Eselon 2</t>
  </si>
  <si>
    <t>Pekerja (Desk Worker)</t>
  </si>
  <si>
    <t>Pekerja Kapal Laut</t>
  </si>
  <si>
    <t>Pekerja Medis</t>
  </si>
  <si>
    <t>Pekerja Pelayanan Publik</t>
  </si>
  <si>
    <t>Pelajar / Mahasiswa</t>
  </si>
  <si>
    <t>Pemadam Kebakaran</t>
  </si>
  <si>
    <t>Pemimpin Agama</t>
  </si>
  <si>
    <t>Pengacara</t>
  </si>
  <si>
    <t>Pengajar / Peneliti</t>
  </si>
  <si>
    <t>Pengurus / Anggota ParPol</t>
  </si>
  <si>
    <t>Pensiunan</t>
  </si>
  <si>
    <t>Perencana Keuangan</t>
  </si>
  <si>
    <t>Petugas Tambang</t>
  </si>
  <si>
    <t>Profesional</t>
  </si>
  <si>
    <t>Supir</t>
  </si>
  <si>
    <t>Tentara</t>
  </si>
  <si>
    <t>Tukang Listrik</t>
  </si>
  <si>
    <t>Wartawan</t>
  </si>
  <si>
    <t>Wiraswasta</t>
  </si>
  <si>
    <t>Pilot/Co-Pilot/Flight Attendant</t>
  </si>
  <si>
    <t>Nama Calon Pemegang Polis</t>
  </si>
  <si>
    <t>Usia</t>
  </si>
  <si>
    <t>Pemegang Polis</t>
  </si>
  <si>
    <t>Apakah Pemegang Polis = Tertanggung?</t>
  </si>
  <si>
    <t>1. Data Calon Pemegang Polis</t>
  </si>
  <si>
    <t>2. Data Calon Tertanggung</t>
  </si>
  <si>
    <t>3. Data Produk Asuransi</t>
  </si>
  <si>
    <t>Mata Uang</t>
  </si>
  <si>
    <t>Premi Tunggal</t>
  </si>
  <si>
    <t>Premi Top Up Tunggal</t>
  </si>
  <si>
    <t>Premi Total</t>
  </si>
  <si>
    <t>Rupiah</t>
  </si>
  <si>
    <t>Uang Pertanggungan</t>
  </si>
  <si>
    <t>Masa Pertanggungan</t>
  </si>
  <si>
    <t>Jenis Investasi</t>
  </si>
  <si>
    <t>TM Invest Pro Plus Fund</t>
  </si>
  <si>
    <t>A. Data Calon Tertanggung</t>
  </si>
  <si>
    <t>B. Data Calon Pemegang Polis</t>
  </si>
  <si>
    <t>C. Data Produk Asuransi</t>
  </si>
  <si>
    <t>D. Ringkasan Manfaat</t>
  </si>
  <si>
    <t>E. Tabel Penarikan Dana</t>
  </si>
  <si>
    <t>Akhir Tahun</t>
  </si>
  <si>
    <t>Proyeksi Hasil Investasi* (per tahun)</t>
  </si>
  <si>
    <t>Pembayaran Hasil Investasi</t>
  </si>
  <si>
    <t>8,00%</t>
  </si>
  <si>
    <t>8,89%</t>
  </si>
  <si>
    <t>10,00%</t>
  </si>
  <si>
    <t>Proyeksi Pengembalian Pokok Dana Investasi (AkhirTahun)</t>
  </si>
  <si>
    <t>dalam Rupiah</t>
  </si>
  <si>
    <t>Coupon</t>
  </si>
  <si>
    <t>Coupon (%)</t>
  </si>
  <si>
    <t>Year</t>
  </si>
  <si>
    <t>Principal</t>
  </si>
  <si>
    <t>Withdrawal</t>
  </si>
  <si>
    <t>Withdrawal (%)</t>
  </si>
  <si>
    <t>Total</t>
  </si>
  <si>
    <t>F. Tabel Ilustrasi Proyeksi Nilai Investasi dan Manfaat Meninggal</t>
  </si>
  <si>
    <r>
      <t xml:space="preserve">Proyeksi Nilai Investasi </t>
    </r>
    <r>
      <rPr>
        <vertAlign val="superscript"/>
        <sz val="10"/>
        <color theme="1"/>
        <rFont val="Arial Narrow"/>
        <family val="2"/>
      </rPr>
      <t>1)</t>
    </r>
  </si>
  <si>
    <t>Death Benefit</t>
  </si>
  <si>
    <r>
      <t xml:space="preserve">Proyeksi Manfaat Meninggal Dunia </t>
    </r>
    <r>
      <rPr>
        <vertAlign val="superscript"/>
        <sz val="10"/>
        <color theme="1"/>
        <rFont val="Arial Narrow"/>
        <family val="2"/>
      </rPr>
      <t>2)</t>
    </r>
  </si>
  <si>
    <t>Surrender (%)</t>
  </si>
  <si>
    <t>Surrender</t>
  </si>
  <si>
    <r>
      <t xml:space="preserve">Proyeksi Manfaat Nilai Tebus </t>
    </r>
    <r>
      <rPr>
        <vertAlign val="superscript"/>
        <sz val="10"/>
        <color theme="1"/>
        <rFont val="Arial Narrow"/>
        <family val="2"/>
      </rPr>
      <t>3)</t>
    </r>
  </si>
  <si>
    <t>1.</t>
  </si>
  <si>
    <t>2.</t>
  </si>
  <si>
    <t>3.</t>
  </si>
  <si>
    <t>4.</t>
  </si>
  <si>
    <t>5.</t>
  </si>
  <si>
    <t>RISIKO INVESTASI:</t>
  </si>
  <si>
    <t>Pernyataan Calon Pemegang Polis</t>
  </si>
  <si>
    <t>Saya Calon Pemegang Polis, menyatakan bahwa:</t>
  </si>
  <si>
    <t>Page 2</t>
  </si>
  <si>
    <t>Page 1</t>
  </si>
  <si>
    <t>Manual</t>
  </si>
  <si>
    <t>Diisi dengan mengetik manual</t>
  </si>
  <si>
    <t>Diisi dengan memilih pilihan</t>
  </si>
  <si>
    <t>Tips</t>
  </si>
  <si>
    <t>Jika "Iya", tidak perlu mengisi "Data Calon Tertanggung"</t>
  </si>
  <si>
    <t>Pastikan di tab "Formulas", bagian "Calculation Options" sudah dijadikan "Automatic"</t>
  </si>
  <si>
    <t>2)   Proyeksi Manfaat Meninggal Dunia adalah Proyeksi Nilai Investasi ditambah dengan Uang Pertanggungan dari Asuransi Dasar.</t>
  </si>
  <si>
    <t>3)   Proyeksi Manfaat Nilai Tebus adalah Proyeksi Nilai Investasi dikurangi Biaya Penebusan (jika ada).</t>
  </si>
  <si>
    <t>1)   Proyeksi Nilai Investasi merupakan Total Premi dikurangi Proyeksi Pengembalian Pokok Dana Investasi.</t>
  </si>
  <si>
    <t>Ilustrasi TM Invest Pro</t>
  </si>
  <si>
    <t xml:space="preserve">   *)</t>
  </si>
  <si>
    <t/>
  </si>
  <si>
    <t>4. Agen</t>
  </si>
  <si>
    <t>Nama Financial Consultant</t>
  </si>
  <si>
    <t>Kode Financial Consultant</t>
  </si>
  <si>
    <t>Nama Kantor Pemasaran</t>
  </si>
  <si>
    <t>Jakarta</t>
  </si>
  <si>
    <t>Tokio Marine</t>
  </si>
  <si>
    <t>CATATAN:</t>
  </si>
  <si>
    <t>Tidak</t>
  </si>
  <si>
    <t>Tertanggung</t>
  </si>
  <si>
    <r>
      <t>Risiko Kredit
Dalam hal penutupan jenis investasi karena penurunan peringkat kredit (</t>
    </r>
    <r>
      <rPr>
        <i/>
        <sz val="10"/>
        <color theme="1"/>
        <rFont val="Arial Narrow"/>
        <family val="2"/>
      </rPr>
      <t>credit rating</t>
    </r>
    <r>
      <rPr>
        <sz val="10"/>
        <color theme="1"/>
        <rFont val="Arial Narrow"/>
        <family val="2"/>
      </rPr>
      <t>) atas aset yang mendasari (</t>
    </r>
    <r>
      <rPr>
        <i/>
        <sz val="10"/>
        <color theme="1"/>
        <rFont val="Arial Narrow"/>
        <family val="2"/>
      </rPr>
      <t>underlying asset</t>
    </r>
    <r>
      <rPr>
        <sz val="10"/>
        <color theme="1"/>
        <rFont val="Arial Narrow"/>
        <family val="2"/>
      </rPr>
      <t>) Dana Investasi menjadi di bawah peringkat layak investasi (</t>
    </r>
    <r>
      <rPr>
        <i/>
        <sz val="10"/>
        <color theme="1"/>
        <rFont val="Arial Narrow"/>
        <family val="2"/>
      </rPr>
      <t>investment grade</t>
    </r>
    <r>
      <rPr>
        <sz val="10"/>
        <color theme="1"/>
        <rFont val="Arial Narrow"/>
        <family val="2"/>
      </rPr>
      <t>), maka Penanggung akan mengembalikan Dana Investasi beserta bunga berjalannya (jika ada).</t>
    </r>
  </si>
  <si>
    <t>Risiko Pembatalan
Jika Polis dibatalkan oleh Penanggung karena ditemukan adanya informasi yang tidak sesuai dengan keadaan atau kondisi yang sebenarnya, maka Penanggung akan mengembalikan Nilai Investasi (jika ada) setelah sebelumnya dikurangi dengan Biaya dan / atau pajak yang timbul berkenaan dengan batalnya Polis maupun kewajiban-kewajiban lainnya (jika ada), namun jika Polis dibatalkan oleh Penanggung karena ditemukan adanya informasi yang sengaja disembunyikan dan / atau terdapat unsur penipuan dan / atau pemalsuan, maka Penanggung bebas dari kewajiban mengembalikan Nilai Investasi maupun membayar Manfaat Asuransi.</t>
  </si>
  <si>
    <r>
      <t>Risiko Likuiditas
Jumlah pembayaran nilai investasi pada saat Penebusan Polis (</t>
    </r>
    <r>
      <rPr>
        <i/>
        <sz val="10"/>
        <color theme="1"/>
        <rFont val="Arial Narrow"/>
        <family val="2"/>
      </rPr>
      <t>Surrender</t>
    </r>
    <r>
      <rPr>
        <sz val="10"/>
        <color theme="1"/>
        <rFont val="Arial Narrow"/>
        <family val="2"/>
      </rPr>
      <t>).</t>
    </r>
  </si>
  <si>
    <r>
      <t xml:space="preserve">Risiko berkurangnya Harga Unit Penyertaan
Fluktuasi harga unit penyertaan Dana Investasi unit link PT Tokio Marine Life Insurance Indonesia (TMLI) disebabkan antara lain:
●     Perubahan tingkat suku bunga pasar yang mengakibatkan fluktuasi tingkat pengembalian pada instrument Pasar Uang;
●     Fluktuasi nilai saham / obligasi yang menjadi underlying asset Dana Investasi unit link TMLI;
●     Terjadi wanprestasi (default) dan force majeure yang dialami oleh pihak-pihak yang terkaid dalam Pengelolaan Dana
</t>
    </r>
    <r>
      <rPr>
        <sz val="10"/>
        <color theme="0"/>
        <rFont val="Arial Narrow"/>
        <family val="2"/>
      </rPr>
      <t xml:space="preserve">●    </t>
    </r>
    <r>
      <rPr>
        <sz val="10"/>
        <color theme="1"/>
        <rFont val="Arial Narrow"/>
        <family val="2"/>
      </rPr>
      <t xml:space="preserve"> Investasi TMLI.</t>
    </r>
  </si>
  <si>
    <t>Risiko perubahan kondisi ekonomi dan politik
Perubahan kondisi perekonomian dan politik di dalam maupun di luar negeri atau perubahan perundang-undangan, kebijakan dan peraturan pemerintah yang berkaitan dengan dunia usaha dapat mempengaruhi harga suatu instrumen investasi. Hal ini berdampak pada berkurangnya Nilai Aktiva Bersih (NAB) penyertaan Anda.</t>
  </si>
  <si>
    <t>Alokasi Premi yang dibentuk ke dalam unit :</t>
  </si>
  <si>
    <t>Alokasi Premi</t>
  </si>
  <si>
    <t>Tahun ke-1</t>
  </si>
  <si>
    <t>Biaya</t>
  </si>
  <si>
    <t>Ilustrasi Manfaat Asuransi sudah diperhitungkan dengan:</t>
  </si>
  <si>
    <t>-Biaya Asuransi dan Biaya Pemeliharaan Polis, maksimal sebesar 0,5% (nol koma lima per seratus) per bulan terhadap Nilai Investasi.</t>
  </si>
  <si>
    <t>-Biaya Pengelolaan Investasi, maksimal 2% (dua per seratus) per tahun.</t>
  </si>
  <si>
    <t>Biaya Penebusan Polis atau penarikan atas seluruh Nilai Investasi dan Biaya Penarikan atas sebagian Nilai Investasi oleh Pemegang Polis adalah sebagai berikut:</t>
  </si>
  <si>
    <t>Tahun Polis</t>
  </si>
  <si>
    <t>2+</t>
  </si>
  <si>
    <t>Biaya Asuransi, Biaya Pemeliharaan Polis, Biaya Penebusan Polis, dan Biaya Penarikan Dana akan diambil dari Nilai Investasi.</t>
  </si>
  <si>
    <t>Proyeksi Nilai Investasi adalah nilai dari Unit yang dihitung berdasarkan Harga Unit pada saat tertentu yang merupakan Total Premi dikurangi Proyeksi Pengembalian Pokok Dana Investasi.</t>
  </si>
  <si>
    <t>6.</t>
  </si>
  <si>
    <t>Penilaian Harga Unit dilakukan setiap hari menggunakan harga pasar yang berlaku pada saat hari tersebut.</t>
  </si>
  <si>
    <t>7.</t>
  </si>
  <si>
    <t>Perubahan Harga Unit menggambarkan hasil investasi dari Nilai Investasi. Kinerja Dana Investasi tidak dijamin Penanggung.</t>
  </si>
  <si>
    <t>8.</t>
  </si>
  <si>
    <t>Besarnya Nilai Investasi yang dibayarkan (lebih besar atau lebih kecil dari yang diilustrasikan) akan bergantung pada perkembangan investasi yang ada.</t>
  </si>
  <si>
    <t>9.</t>
  </si>
  <si>
    <t>Setiap Penarikan Dana Investasi dikenakan pajak penghasilan sesuai dengan peraturan yang berlaku saat transaksi dilakukan (jika ada).</t>
  </si>
  <si>
    <t>10.</t>
  </si>
  <si>
    <t>Penarikan Dana Investasi sudah memperhitungkan Biaya Penarikan Dana (jika ada).</t>
  </si>
  <si>
    <t>11.</t>
  </si>
  <si>
    <t>Investasi ditempatkan pada aset yang diproyeksikan memberikan manfaat pembayaran hasil investasi secara berkala dan pengembalian pokok investasi secara bertahap.</t>
  </si>
  <si>
    <t>Alokasi Investasi</t>
  </si>
  <si>
    <t>Biaya Akuisisi</t>
  </si>
  <si>
    <t>12.</t>
  </si>
  <si>
    <t xml:space="preserve">Investasi ditempatkan dengan alokasi 80-100% di instrument pendapatan tetap dan selebihnya di instrument pasar uang. Instrumen pendapatan tetap dalam hal ini memiliki peringkat layak investasi (peringkat BBB- ke-atas dari Pefindo atau setara) dan diterbitkan oleh perusahaan yang terdaftar di Bursa Efek Indonesia. </t>
  </si>
  <si>
    <t>13.</t>
  </si>
  <si>
    <t>Seluruh penempatan investasi di instrument pendapatan tetap dapat dilakukan  ke satu perusahaan penerbit.</t>
  </si>
  <si>
    <t>14.</t>
  </si>
  <si>
    <t>Jika kinerja dana memburuk sehingga tidak dapat memenuhi pengembalian investasi yang diproyeksikan dan peringkatnya menjadi di bawah peringkat layak investasi, TMLI akan mengakhiri dana lebih awal dan mengembalikan nilai dana kepada pemegang polis.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</si>
</sst>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0&quot; tahun&quot;"/>
    <numFmt numFmtId="166" formatCode="[$-421]dd\ mmmm\ yyyy;@"/>
  </numFmts>
  <fonts count="19" x14ac:knownFonts="1">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i/>
      <sz val="10"/>
      <color theme="1"/>
      <name val="Arial Narrow"/>
      <family val="2"/>
    </font>
    <font>
      <vertAlign val="superscript"/>
      <sz val="10"/>
      <color theme="1"/>
      <name val="Arial Narrow"/>
      <family val="2"/>
    </font>
    <font>
      <sz val="10"/>
      <color theme="0"/>
      <name val="Arial Narrow"/>
      <family val="2"/>
    </font>
    <font>
      <b/>
      <sz val="12"/>
      <color theme="1"/>
      <name val="Arial Narrow"/>
      <family val="2"/>
    </font>
    <font>
      <b/>
      <sz val="14"/>
      <color theme="1"/>
      <name val="Arial Narrow"/>
      <family val="2"/>
    </font>
    <font>
      <sz val="9"/>
      <color theme="1"/>
      <name val="Arial Narrow"/>
      <family val="2"/>
    </font>
    <font>
      <b/>
      <sz val="11"/>
      <color theme="0"/>
      <name val="Calibri"/>
      <family val="2"/>
      <scheme val="minor"/>
    </font>
    <font>
      <sz val="11"/>
      <color theme="0"/>
      <name val="Calibri"/>
      <family val="2"/>
      <scheme val="minor"/>
    </font>
    <font>
      <sz val="9"/>
      <color theme="0"/>
      <name val="Arial Narrow"/>
      <family val="2"/>
    </font>
    <font>
      <sz val="10"/>
      <color rgb="FF000000"/>
      <name val="Arial Narrow"/>
      <family val="2"/>
    </font>
  </fonts>
  <fills count="5">
    <fill>
      <patternFill patternType="none"/>
    </fill>
    <fill>
      <patternFill patternType="gray125"/>
    </fill>
    <fill>
      <patternFill patternType="solid">
        <fgColor theme="6" tint="0.79998168889431442"/>
        <bgColor indexed="64"/>
      </patternFill>
    </fill>
    <fill>
      <patternFill patternType="solid">
        <fgColor theme="6"/>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164" fontId="4" fillId="0" borderId="0" applyFont="0" applyFill="0" applyBorder="0" applyAlignment="0" applyProtection="0"/>
  </cellStyleXfs>
  <cellXfs count="96">
    <xf numFmtId="0" fontId="0" fillId="0" borderId="0" xfId="0"/>
    <xf numFmtId="0" fontId="3" fillId="0" borderId="0" xfId="0" applyFont="1"/>
    <xf numFmtId="0" fontId="3" fillId="0" borderId="0" xfId="0" applyFont="1" applyAlignment="1">
      <alignment vertical="center"/>
    </xf>
    <xf numFmtId="0" fontId="0" fillId="0" borderId="10" xfId="0" applyBorder="1" applyAlignment="1" applyProtection="1">
      <alignment horizontal="left"/>
      <protection hidden="1"/>
    </xf>
    <xf numFmtId="0" fontId="2" fillId="0" borderId="0" xfId="0" applyFont="1" applyProtection="1">
      <protection hidden="1"/>
    </xf>
    <xf numFmtId="0" fontId="0" fillId="0" borderId="0" xfId="0" applyProtection="1">
      <protection hidden="1"/>
    </xf>
    <xf numFmtId="0" fontId="0" fillId="0" borderId="0" xfId="0" applyFont="1" applyProtection="1">
      <protection hidden="1"/>
    </xf>
    <xf numFmtId="0" fontId="1" fillId="4" borderId="0" xfId="0" applyFont="1" applyFill="1" applyProtection="1">
      <protection hidden="1"/>
    </xf>
    <xf numFmtId="0" fontId="0" fillId="4" borderId="0" xfId="0" applyFill="1" applyProtection="1">
      <protection hidden="1"/>
    </xf>
    <xf numFmtId="14" fontId="0" fillId="0" borderId="0" xfId="0" applyNumberFormat="1" applyProtection="1">
      <protection hidden="1"/>
    </xf>
    <xf numFmtId="0" fontId="0" fillId="0" borderId="6" xfId="0" applyBorder="1" applyProtection="1">
      <protection hidden="1"/>
    </xf>
    <xf numFmtId="0" fontId="0" fillId="0" borderId="7" xfId="0" applyBorder="1" applyProtection="1">
      <protection hidden="1"/>
    </xf>
    <xf numFmtId="0" fontId="0" fillId="2" borderId="8" xfId="0" applyFill="1" applyBorder="1" applyProtection="1">
      <protection locked="0" hidden="1"/>
    </xf>
    <xf numFmtId="0" fontId="0" fillId="0" borderId="9" xfId="0" applyBorder="1" applyProtection="1">
      <protection hidden="1"/>
    </xf>
    <xf numFmtId="0" fontId="0" fillId="0" borderId="0" xfId="0" applyBorder="1" applyProtection="1">
      <protection hidden="1"/>
    </xf>
    <xf numFmtId="0" fontId="0" fillId="3" borderId="10" xfId="0" applyFill="1" applyBorder="1" applyProtection="1">
      <protection locked="0" hidden="1"/>
    </xf>
    <xf numFmtId="166" fontId="0" fillId="2" borderId="10" xfId="0" applyNumberFormat="1" applyFill="1" applyBorder="1" applyAlignment="1" applyProtection="1">
      <alignment horizontal="left"/>
      <protection locked="0" hidden="1"/>
    </xf>
    <xf numFmtId="15" fontId="0" fillId="0" borderId="0" xfId="0" applyNumberFormat="1" applyProtection="1">
      <protection hidden="1"/>
    </xf>
    <xf numFmtId="0" fontId="0" fillId="0" borderId="11" xfId="0" applyBorder="1" applyProtection="1">
      <protection hidden="1"/>
    </xf>
    <xf numFmtId="0" fontId="0" fillId="0" borderId="12" xfId="0" applyBorder="1" applyProtection="1">
      <protection hidden="1"/>
    </xf>
    <xf numFmtId="0" fontId="0" fillId="3" borderId="13" xfId="0" applyFill="1" applyBorder="1" applyProtection="1">
      <protection locked="0" hidden="1"/>
    </xf>
    <xf numFmtId="0" fontId="0" fillId="0" borderId="0" xfId="0" applyNumberFormat="1" applyProtection="1">
      <protection hidden="1"/>
    </xf>
    <xf numFmtId="0" fontId="1" fillId="0" borderId="0" xfId="0" applyFont="1" applyProtection="1">
      <protection hidden="1"/>
    </xf>
    <xf numFmtId="0" fontId="1" fillId="4" borderId="0" xfId="0" applyFont="1" applyFill="1" applyProtection="1">
      <protection locked="0" hidden="1"/>
    </xf>
    <xf numFmtId="0" fontId="0" fillId="0" borderId="8" xfId="0" applyBorder="1" applyProtection="1">
      <protection hidden="1"/>
    </xf>
    <xf numFmtId="3" fontId="0" fillId="0" borderId="10" xfId="0" applyNumberFormat="1" applyBorder="1" applyAlignment="1" applyProtection="1">
      <alignment horizontal="left"/>
      <protection hidden="1"/>
    </xf>
    <xf numFmtId="3" fontId="0" fillId="2" borderId="10" xfId="0" applyNumberFormat="1" applyFill="1" applyBorder="1" applyAlignment="1" applyProtection="1">
      <alignment horizontal="left"/>
      <protection locked="0" hidden="1"/>
    </xf>
    <xf numFmtId="165" fontId="0" fillId="0" borderId="10" xfId="0" applyNumberFormat="1" applyBorder="1" applyAlignment="1" applyProtection="1">
      <alignment horizontal="left"/>
      <protection hidden="1"/>
    </xf>
    <xf numFmtId="9" fontId="0" fillId="0" borderId="4" xfId="0" applyNumberFormat="1" applyBorder="1" applyAlignment="1" applyProtection="1">
      <alignment horizontal="center"/>
      <protection hidden="1"/>
    </xf>
    <xf numFmtId="0" fontId="0" fillId="2" borderId="10" xfId="0" applyFill="1" applyBorder="1" applyAlignment="1" applyProtection="1">
      <alignment horizontal="left"/>
      <protection locked="0" hidden="1"/>
    </xf>
    <xf numFmtId="0" fontId="0" fillId="2" borderId="13" xfId="0" applyFill="1" applyBorder="1" applyProtection="1">
      <protection locked="0" hidden="1"/>
    </xf>
    <xf numFmtId="0" fontId="16" fillId="0" borderId="0" xfId="0" applyFont="1"/>
    <xf numFmtId="0" fontId="11" fillId="0" borderId="0" xfId="0" applyFont="1" applyAlignment="1">
      <alignment vertical="top" wrapText="1"/>
    </xf>
    <xf numFmtId="0" fontId="16" fillId="0" borderId="0" xfId="0" applyFont="1" applyAlignment="1">
      <alignment wrapText="1"/>
    </xf>
    <xf numFmtId="0" fontId="16" fillId="0" borderId="1" xfId="0" applyFont="1" applyBorder="1"/>
    <xf numFmtId="0" fontId="16" fillId="0" borderId="1" xfId="0" applyFont="1" applyFill="1" applyBorder="1"/>
    <xf numFmtId="3" fontId="16" fillId="0" borderId="1" xfId="1" applyNumberFormat="1" applyFont="1" applyBorder="1"/>
    <xf numFmtId="10" fontId="16" fillId="0" borderId="1" xfId="0" applyNumberFormat="1" applyFont="1" applyBorder="1"/>
    <xf numFmtId="9" fontId="16" fillId="0" borderId="1" xfId="0" applyNumberFormat="1" applyFont="1" applyBorder="1"/>
    <xf numFmtId="3" fontId="16" fillId="0" borderId="1" xfId="0" applyNumberFormat="1" applyFont="1" applyBorder="1"/>
    <xf numFmtId="0" fontId="15" fillId="0" borderId="1" xfId="0" applyFont="1" applyBorder="1" applyAlignment="1">
      <alignment horizontal="center"/>
    </xf>
    <xf numFmtId="3" fontId="15" fillId="0" borderId="1" xfId="0" applyNumberFormat="1" applyFont="1" applyBorder="1" applyAlignment="1">
      <alignment horizontal="center"/>
    </xf>
    <xf numFmtId="0" fontId="12" fillId="0" borderId="0" xfId="0" applyFont="1" applyAlignment="1" applyProtection="1">
      <alignment vertical="center"/>
      <protection hidden="1"/>
    </xf>
    <xf numFmtId="0" fontId="14" fillId="0" borderId="0" xfId="0" applyFont="1" applyAlignment="1" applyProtection="1">
      <alignment horizontal="right" vertical="center"/>
      <protection hidden="1"/>
    </xf>
    <xf numFmtId="0" fontId="16" fillId="0" borderId="0" xfId="0" applyFont="1" applyProtection="1">
      <protection hidden="1"/>
    </xf>
    <xf numFmtId="0" fontId="8" fillId="0" borderId="0" xfId="0" quotePrefix="1" applyFont="1" applyAlignment="1" applyProtection="1">
      <alignment vertical="center"/>
      <protection hidden="1"/>
    </xf>
    <xf numFmtId="0" fontId="8" fillId="0" borderId="0" xfId="0" applyFont="1" applyAlignment="1" applyProtection="1">
      <alignment vertical="center"/>
      <protection hidden="1"/>
    </xf>
    <xf numFmtId="0" fontId="8" fillId="0" borderId="1" xfId="0" applyFont="1" applyBorder="1" applyAlignment="1" applyProtection="1">
      <alignment horizontal="center" vertical="center"/>
      <protection hidden="1"/>
    </xf>
    <xf numFmtId="9" fontId="8" fillId="0" borderId="1" xfId="0" applyNumberFormat="1" applyFont="1" applyBorder="1" applyAlignment="1" applyProtection="1">
      <alignment horizontal="center" vertical="center"/>
      <protection hidden="1"/>
    </xf>
    <xf numFmtId="0" fontId="8" fillId="0" borderId="0" xfId="0" applyFont="1" applyAlignment="1" applyProtection="1">
      <alignment horizontal="justify" vertical="center"/>
      <protection hidden="1"/>
    </xf>
    <xf numFmtId="0" fontId="5" fillId="0" borderId="0" xfId="0" applyFont="1" applyAlignment="1" applyProtection="1">
      <alignment vertical="center"/>
      <protection hidden="1"/>
    </xf>
    <xf numFmtId="0" fontId="7" fillId="0" borderId="0" xfId="0" applyFont="1" applyAlignment="1" applyProtection="1">
      <alignment vertical="center"/>
      <protection hidden="1"/>
    </xf>
    <xf numFmtId="0" fontId="6" fillId="0" borderId="0" xfId="0" applyFont="1" applyAlignment="1" applyProtection="1">
      <alignment vertical="center"/>
      <protection hidden="1"/>
    </xf>
    <xf numFmtId="0" fontId="7" fillId="0" borderId="0" xfId="0" applyFont="1" applyAlignment="1" applyProtection="1">
      <alignment horizontal="left" vertical="center"/>
      <protection hidden="1"/>
    </xf>
    <xf numFmtId="0" fontId="7" fillId="0" borderId="0" xfId="0" applyFont="1" applyBorder="1" applyAlignment="1" applyProtection="1">
      <alignment vertical="center"/>
      <protection hidden="1"/>
    </xf>
    <xf numFmtId="0" fontId="7" fillId="0" borderId="0" xfId="0" applyFont="1" applyBorder="1" applyAlignment="1" applyProtection="1">
      <alignment horizontal="left" vertical="center"/>
      <protection hidden="1"/>
    </xf>
    <xf numFmtId="0" fontId="5" fillId="0" borderId="0" xfId="0" applyFont="1" applyBorder="1" applyAlignment="1" applyProtection="1">
      <alignment vertical="center"/>
      <protection hidden="1"/>
    </xf>
    <xf numFmtId="0" fontId="14" fillId="0" borderId="0" xfId="0" applyFont="1" applyAlignment="1" applyProtection="1">
      <alignment vertical="center"/>
      <protection hidden="1"/>
    </xf>
    <xf numFmtId="0" fontId="6" fillId="0" borderId="0" xfId="0" applyFont="1" applyAlignment="1" applyProtection="1">
      <alignment horizontal="left" vertical="center"/>
      <protection hidden="1"/>
    </xf>
    <xf numFmtId="0" fontId="8" fillId="0" borderId="1" xfId="0" applyFont="1" applyBorder="1" applyAlignment="1" applyProtection="1">
      <alignment horizontal="right" vertical="center"/>
      <protection hidden="1"/>
    </xf>
    <xf numFmtId="0" fontId="8" fillId="0" borderId="1" xfId="0" quotePrefix="1" applyFont="1" applyBorder="1" applyAlignment="1" applyProtection="1">
      <alignment horizontal="center" vertical="center"/>
      <protection hidden="1"/>
    </xf>
    <xf numFmtId="0" fontId="8" fillId="0" borderId="1" xfId="0" applyFont="1" applyBorder="1" applyAlignment="1" applyProtection="1">
      <alignment vertical="center"/>
      <protection hidden="1"/>
    </xf>
    <xf numFmtId="0" fontId="8" fillId="0" borderId="0" xfId="0" quotePrefix="1" applyFont="1" applyAlignment="1" applyProtection="1">
      <alignment horizontal="right" vertical="center"/>
      <protection hidden="1"/>
    </xf>
    <xf numFmtId="0" fontId="18" fillId="0" borderId="0" xfId="0" applyFont="1" applyAlignment="1">
      <alignment vertical="center"/>
    </xf>
    <xf numFmtId="0" fontId="8" fillId="0" borderId="0" xfId="0" applyFont="1" applyAlignment="1" applyProtection="1">
      <alignment vertical="center" wrapText="1"/>
      <protection hidden="1"/>
    </xf>
    <xf numFmtId="0" fontId="8" fillId="0" borderId="0" xfId="0" applyFont="1" applyAlignment="1" applyProtection="1">
      <alignment horizontal="justify" vertical="center" wrapText="1"/>
      <protection hidden="1"/>
    </xf>
    <xf numFmtId="0" fontId="8" fillId="0" borderId="0" xfId="0" applyFont="1" applyAlignment="1" applyProtection="1">
      <alignment vertical="center" wrapText="1"/>
      <protection hidden="1"/>
    </xf>
    <xf numFmtId="0" fontId="8" fillId="0" borderId="0" xfId="0" applyFont="1" applyAlignment="1" applyProtection="1">
      <alignment horizontal="left" vertical="center"/>
      <protection hidden="1"/>
    </xf>
    <xf numFmtId="0" fontId="8" fillId="0" borderId="0" xfId="0" applyFont="1" applyAlignment="1" applyProtection="1">
      <alignment horizontal="right" vertical="center"/>
      <protection hidden="1"/>
    </xf>
    <xf numFmtId="0" fontId="5" fillId="0" borderId="0" xfId="0" applyFont="1" applyAlignment="1" applyProtection="1">
      <alignment horizontal="right" vertical="center"/>
      <protection hidden="1"/>
    </xf>
    <xf numFmtId="0" fontId="8" fillId="0" borderId="0" xfId="0" quotePrefix="1" applyFont="1" applyAlignment="1" applyProtection="1">
      <alignment horizontal="justify" vertical="center"/>
      <protection hidden="1"/>
    </xf>
    <xf numFmtId="0" fontId="0" fillId="3" borderId="0" xfId="0" applyFill="1" applyProtection="1">
      <protection hidden="1"/>
    </xf>
    <xf numFmtId="0" fontId="0" fillId="2" borderId="0" xfId="0" applyFill="1" applyProtection="1">
      <protection hidden="1"/>
    </xf>
    <xf numFmtId="0" fontId="0" fillId="0" borderId="6" xfId="0" applyBorder="1" applyAlignment="1" applyProtection="1">
      <alignment vertical="top" wrapText="1"/>
      <protection hidden="1"/>
    </xf>
    <xf numFmtId="0" fontId="0" fillId="0" borderId="7" xfId="0" applyBorder="1" applyAlignment="1" applyProtection="1">
      <alignment vertical="top" wrapText="1"/>
      <protection hidden="1"/>
    </xf>
    <xf numFmtId="0" fontId="0" fillId="0" borderId="8" xfId="0" applyBorder="1" applyAlignment="1" applyProtection="1">
      <alignment vertical="top" wrapText="1"/>
      <protection hidden="1"/>
    </xf>
    <xf numFmtId="0" fontId="0" fillId="0" borderId="9" xfId="0" applyBorder="1" applyAlignment="1" applyProtection="1">
      <alignment vertical="top" wrapText="1"/>
      <protection hidden="1"/>
    </xf>
    <xf numFmtId="0" fontId="0" fillId="0" borderId="0" xfId="0" applyBorder="1" applyAlignment="1" applyProtection="1">
      <alignment vertical="top" wrapText="1"/>
      <protection hidden="1"/>
    </xf>
    <xf numFmtId="0" fontId="0" fillId="0" borderId="10" xfId="0" applyBorder="1" applyAlignment="1" applyProtection="1">
      <alignment vertical="top" wrapText="1"/>
      <protection hidden="1"/>
    </xf>
    <xf numFmtId="0" fontId="0" fillId="0" borderId="11" xfId="0" applyBorder="1" applyAlignment="1" applyProtection="1">
      <alignment vertical="top" wrapText="1"/>
      <protection hidden="1"/>
    </xf>
    <xf numFmtId="0" fontId="0" fillId="0" borderId="12" xfId="0" applyBorder="1" applyAlignment="1" applyProtection="1">
      <alignment vertical="top" wrapText="1"/>
      <protection hidden="1"/>
    </xf>
    <xf numFmtId="0" fontId="0" fillId="0" borderId="13" xfId="0" applyBorder="1" applyAlignment="1" applyProtection="1">
      <alignment vertical="top" wrapText="1"/>
      <protection hidden="1"/>
    </xf>
    <xf numFmtId="0" fontId="17" fillId="0" borderId="0" xfId="0" applyFont="1" applyAlignment="1">
      <alignment wrapText="1"/>
    </xf>
    <xf numFmtId="0" fontId="11" fillId="0" borderId="0" xfId="0" applyFont="1" applyAlignment="1">
      <alignment vertical="top" wrapText="1"/>
    </xf>
    <xf numFmtId="0" fontId="8" fillId="0" borderId="0" xfId="0" applyFont="1" applyAlignment="1" applyProtection="1">
      <alignment horizontal="justify" vertical="center" wrapText="1"/>
      <protection hidden="1"/>
    </xf>
    <xf numFmtId="0" fontId="8" fillId="0" borderId="0" xfId="0" applyFont="1" applyAlignment="1" applyProtection="1">
      <alignment vertical="center" wrapText="1"/>
      <protection hidden="1"/>
    </xf>
    <xf numFmtId="0" fontId="8" fillId="0" borderId="2" xfId="0" applyFont="1" applyBorder="1" applyAlignment="1" applyProtection="1">
      <alignment horizontal="center" vertical="center" wrapText="1"/>
      <protection hidden="1"/>
    </xf>
    <xf numFmtId="0" fontId="8" fillId="0" borderId="3" xfId="0" applyFont="1" applyBorder="1" applyAlignment="1" applyProtection="1">
      <alignment horizontal="center" vertical="center" wrapText="1"/>
      <protection hidden="1"/>
    </xf>
    <xf numFmtId="0" fontId="8" fillId="0" borderId="1" xfId="0" applyFont="1" applyBorder="1" applyAlignment="1" applyProtection="1">
      <alignment horizontal="center" vertical="center"/>
      <protection hidden="1"/>
    </xf>
    <xf numFmtId="0" fontId="8" fillId="0" borderId="1" xfId="0" applyFont="1" applyBorder="1" applyAlignment="1" applyProtection="1">
      <alignment vertical="center"/>
      <protection hidden="1"/>
    </xf>
    <xf numFmtId="0" fontId="13" fillId="0" borderId="0" xfId="0" applyFont="1" applyAlignment="1" applyProtection="1">
      <alignment vertical="center"/>
      <protection hidden="1"/>
    </xf>
    <xf numFmtId="0" fontId="8" fillId="0" borderId="1" xfId="0" applyFont="1" applyBorder="1" applyAlignment="1" applyProtection="1">
      <alignment horizontal="right" vertical="center"/>
      <protection hidden="1"/>
    </xf>
    <xf numFmtId="0" fontId="8" fillId="0" borderId="1" xfId="0" applyFont="1" applyBorder="1" applyAlignment="1" applyProtection="1">
      <alignment horizontal="center" vertical="center" wrapText="1"/>
      <protection hidden="1"/>
    </xf>
    <xf numFmtId="0" fontId="8" fillId="0" borderId="5" xfId="0" applyFont="1" applyBorder="1" applyAlignment="1" applyProtection="1">
      <alignment horizontal="center" vertical="center" wrapText="1"/>
      <protection hidden="1"/>
    </xf>
    <xf numFmtId="0" fontId="7" fillId="0" borderId="1" xfId="0" applyFont="1" applyBorder="1" applyAlignment="1" applyProtection="1">
      <alignment horizontal="center" vertical="center"/>
      <protection hidden="1"/>
    </xf>
    <xf numFmtId="0" fontId="8" fillId="0" borderId="0" xfId="0" quotePrefix="1" applyFont="1" applyAlignment="1" applyProtection="1">
      <alignment horizontal="justify" vertical="center" wrapText="1"/>
      <protection hidden="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17929</xdr:colOff>
      <xdr:row>2</xdr:row>
      <xdr:rowOff>35860</xdr:rowOff>
    </xdr:from>
    <xdr:to>
      <xdr:col>13</xdr:col>
      <xdr:colOff>147917</xdr:colOff>
      <xdr:row>9</xdr:row>
      <xdr:rowOff>78138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134470" y="394448"/>
          <a:ext cx="9197788" cy="12973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1</xdr:colOff>
      <xdr:row>26</xdr:row>
      <xdr:rowOff>38727</xdr:rowOff>
    </xdr:from>
    <xdr:ext cx="6073588" cy="706027"/>
    <xdr:sp macro="" textlink="">
      <xdr:nvSpPr>
        <xdr:cNvPr id="34" name="Rectangle 33">
          <a:extLst>
            <a:ext uri="{FF2B5EF4-FFF2-40B4-BE49-F238E27FC236}">
              <a16:creationId xmlns:a16="http://schemas.microsoft.com/office/drawing/2014/main" id="{00000000-0008-0000-0300-000022000000}"/>
            </a:ext>
          </a:extLst>
        </xdr:cNvPr>
        <xdr:cNvSpPr/>
      </xdr:nvSpPr>
      <xdr:spPr>
        <a:xfrm>
          <a:off x="1" y="5574433"/>
          <a:ext cx="6073588" cy="7060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just"/>
          <a:r>
            <a:rPr lang="en-US" sz="1000" b="1">
              <a:solidFill>
                <a:sysClr val="windowText" lastClr="000000"/>
              </a:solidFill>
              <a:effectLst/>
              <a:latin typeface="Arial Narrow" panose="020B0606020202030204" pitchFamily="34" charset="0"/>
              <a:ea typeface="+mn-ea"/>
              <a:cs typeface="+mn-cs"/>
            </a:rPr>
            <a:t>Manfaat Akhir Masa Pertanggungan :</a:t>
          </a:r>
          <a:endParaRPr lang="en-MY" sz="1000">
            <a:solidFill>
              <a:sysClr val="windowText" lastClr="000000"/>
            </a:solidFill>
            <a:effectLst/>
            <a:latin typeface="Arial Narrow" panose="020B0606020202030204" pitchFamily="34" charset="0"/>
            <a:ea typeface="+mn-ea"/>
            <a:cs typeface="+mn-cs"/>
          </a:endParaRPr>
        </a:p>
        <a:p>
          <a:pPr algn="just"/>
          <a:r>
            <a:rPr lang="en-US" sz="1000">
              <a:solidFill>
                <a:sysClr val="windowText" lastClr="000000"/>
              </a:solidFill>
              <a:effectLst/>
              <a:latin typeface="Arial Narrow" panose="020B0606020202030204" pitchFamily="34" charset="0"/>
              <a:ea typeface="+mn-ea"/>
              <a:cs typeface="+mn-cs"/>
            </a:rPr>
            <a:t>Manfaat Akhir Masa Pertanggungan akan dibayarkan sebesar 100% (seratus per seratus) dari total Nilai Investasi pada saat pertanggungan mencapai akhir Masa Pertanggungan.</a:t>
          </a:r>
          <a:endParaRPr lang="en-MY" sz="1000">
            <a:solidFill>
              <a:sysClr val="windowText" lastClr="000000"/>
            </a:solidFill>
            <a:effectLst/>
            <a:latin typeface="Arial Narrow" panose="020B0606020202030204" pitchFamily="34" charset="0"/>
            <a:ea typeface="+mn-ea"/>
            <a:cs typeface="+mn-cs"/>
          </a:endParaRPr>
        </a:p>
        <a:p>
          <a:pPr algn="l"/>
          <a:endParaRPr lang="en-MY" sz="1100">
            <a:solidFill>
              <a:sysClr val="windowText" lastClr="000000"/>
            </a:solidFill>
          </a:endParaRPr>
        </a:p>
      </xdr:txBody>
    </xdr:sp>
    <xdr:clientData/>
  </xdr:oneCellAnchor>
  <xdr:oneCellAnchor>
    <xdr:from>
      <xdr:col>0</xdr:col>
      <xdr:colOff>8425</xdr:colOff>
      <xdr:row>6</xdr:row>
      <xdr:rowOff>13044</xdr:rowOff>
    </xdr:from>
    <xdr:ext cx="2907405" cy="838603"/>
    <xdr:sp macro="" textlink="In_Output">
      <xdr:nvSpPr>
        <xdr:cNvPr id="4" name="TextBox 5">
          <a:extLst>
            <a:ext uri="{FF2B5EF4-FFF2-40B4-BE49-F238E27FC236}">
              <a16:creationId xmlns:a16="http://schemas.microsoft.com/office/drawing/2014/main" id="{00000000-0008-0000-0300-000004000000}"/>
            </a:ext>
          </a:extLst>
        </xdr:cNvPr>
        <xdr:cNvSpPr txBox="1"/>
      </xdr:nvSpPr>
      <xdr:spPr>
        <a:xfrm>
          <a:off x="8425" y="1255435"/>
          <a:ext cx="2901072" cy="815217"/>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pPr>
            <a:spcAft>
              <a:spcPts val="0"/>
            </a:spcAft>
          </a:pPr>
          <a:fld id="{F32F7789-16A4-4F15-B02C-4A23798EA92A}" type="TxLink">
            <a:rPr lang="en-US" sz="1000" b="0" i="0" u="none" strike="noStrike">
              <a:ln>
                <a:noFill/>
              </a:ln>
              <a:solidFill>
                <a:schemeClr val="tx1"/>
              </a:solidFill>
              <a:effectLst/>
              <a:latin typeface="Arial Narrow"/>
              <a:ea typeface="Times New Roman" panose="02020603050405020304" pitchFamily="18" charset="0"/>
            </a:rPr>
            <a:pPr>
              <a:spcAft>
                <a:spcPts val="0"/>
              </a:spcAft>
            </a:pPr>
            <a:t>Calon Tertanggung	          : Tertanggung
Jenis Kelamin	          : Pria
Tanggal Lahir	          : 25 September 2018
Usia	          : 0 tahun
Pekerjaan	          : Belum Sekolah</a:t>
          </a:fld>
          <a:endParaRPr lang="en-MY" sz="1200">
            <a:ln>
              <a:noFill/>
            </a:ln>
            <a:solidFill>
              <a:schemeClr val="tx1"/>
            </a:solidFill>
            <a:effectLst/>
            <a:latin typeface="Times New Roman" panose="02020603050405020304" pitchFamily="18" charset="0"/>
            <a:ea typeface="Times New Roman" panose="02020603050405020304" pitchFamily="18" charset="0"/>
          </a:endParaRPr>
        </a:p>
      </xdr:txBody>
    </xdr:sp>
    <xdr:clientData/>
  </xdr:oneCellAnchor>
  <xdr:oneCellAnchor>
    <xdr:from>
      <xdr:col>5</xdr:col>
      <xdr:colOff>24526</xdr:colOff>
      <xdr:row>6</xdr:row>
      <xdr:rowOff>17807</xdr:rowOff>
    </xdr:from>
    <xdr:ext cx="3180355" cy="842123"/>
    <xdr:sp macro="" textlink="PH_Output">
      <xdr:nvSpPr>
        <xdr:cNvPr id="12" name="TextBox 5">
          <a:extLst>
            <a:ext uri="{FF2B5EF4-FFF2-40B4-BE49-F238E27FC236}">
              <a16:creationId xmlns:a16="http://schemas.microsoft.com/office/drawing/2014/main" id="{00000000-0008-0000-0300-00000C000000}"/>
            </a:ext>
          </a:extLst>
        </xdr:cNvPr>
        <xdr:cNvSpPr txBox="1"/>
      </xdr:nvSpPr>
      <xdr:spPr>
        <a:xfrm>
          <a:off x="3094938" y="1295278"/>
          <a:ext cx="3180355" cy="842123"/>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pPr>
            <a:spcAft>
              <a:spcPts val="0"/>
            </a:spcAft>
          </a:pPr>
          <a:fld id="{5259A05A-EBA2-4E83-AD5C-57B572A1B521}" type="TxLink">
            <a:rPr lang="en-US" sz="1000" b="0" i="0" u="none" strike="noStrike">
              <a:ln>
                <a:noFill/>
              </a:ln>
              <a:solidFill>
                <a:srgbClr val="000000"/>
              </a:solidFill>
              <a:effectLst/>
              <a:latin typeface="Arial Narrow"/>
              <a:ea typeface="Times New Roman" panose="02020603050405020304" pitchFamily="18" charset="0"/>
            </a:rPr>
            <a:pPr>
              <a:spcAft>
                <a:spcPts val="0"/>
              </a:spcAft>
            </a:pPr>
            <a:t>Calon Pemegang Polis  : Pemegang Polis
Jenis Kelamin	       : Pria
Tanggal Lahir	       : 05 Oktober 1940
Usia	       : 78 tahun
Pekerjaan	       : Agen Penjualan</a:t>
          </a:fld>
          <a:endParaRPr lang="en-MY" sz="1200">
            <a:ln>
              <a:noFill/>
            </a:ln>
            <a:solidFill>
              <a:schemeClr val="tx1"/>
            </a:solidFill>
            <a:effectLst/>
            <a:latin typeface="Times New Roman" panose="02020603050405020304" pitchFamily="18" charset="0"/>
            <a:ea typeface="Times New Roman" panose="02020603050405020304" pitchFamily="18" charset="0"/>
          </a:endParaRPr>
        </a:p>
      </xdr:txBody>
    </xdr:sp>
    <xdr:clientData/>
  </xdr:oneCellAnchor>
  <xdr:twoCellAnchor>
    <xdr:from>
      <xdr:col>0</xdr:col>
      <xdr:colOff>11986</xdr:colOff>
      <xdr:row>12</xdr:row>
      <xdr:rowOff>9052</xdr:rowOff>
    </xdr:from>
    <xdr:to>
      <xdr:col>9</xdr:col>
      <xdr:colOff>616323</xdr:colOff>
      <xdr:row>20</xdr:row>
      <xdr:rowOff>0</xdr:rowOff>
    </xdr:to>
    <xdr:sp macro="" textlink="">
      <xdr:nvSpPr>
        <xdr:cNvPr id="13" name="Text Box 2">
          <a:extLst>
            <a:ext uri="{FF2B5EF4-FFF2-40B4-BE49-F238E27FC236}">
              <a16:creationId xmlns:a16="http://schemas.microsoft.com/office/drawing/2014/main" id="{00000000-0008-0000-0300-00000D000000}"/>
            </a:ext>
          </a:extLst>
        </xdr:cNvPr>
        <xdr:cNvSpPr txBox="1">
          <a:spLocks noChangeArrowheads="1"/>
        </xdr:cNvSpPr>
      </xdr:nvSpPr>
      <xdr:spPr bwMode="auto">
        <a:xfrm>
          <a:off x="11986" y="2563993"/>
          <a:ext cx="6050396" cy="1694242"/>
        </a:xfrm>
        <a:prstGeom prst="rect">
          <a:avLst/>
        </a:prstGeom>
        <a:noFill/>
        <a:ln w="9525">
          <a:solidFill>
            <a:sysClr val="windowText" lastClr="000000"/>
          </a:solidFill>
          <a:miter lim="800000"/>
          <a:headEnd/>
          <a:tailEnd/>
        </a:ln>
      </xdr:spPr>
      <xdr:txBody>
        <a:bodyPr rot="0" vert="horz" wrap="square" lIns="91440" tIns="45720" rIns="91440" bIns="45720" anchor="t" anchorCtr="0">
          <a:noAutofit/>
        </a:bodyPr>
        <a:lstStyle/>
        <a:p>
          <a:pPr>
            <a:lnSpc>
              <a:spcPct val="107000"/>
            </a:lnSpc>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endParaRPr lang="en-MY"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editAs="oneCell">
    <xdr:from>
      <xdr:col>0</xdr:col>
      <xdr:colOff>0</xdr:colOff>
      <xdr:row>12</xdr:row>
      <xdr:rowOff>9054</xdr:rowOff>
    </xdr:from>
    <xdr:to>
      <xdr:col>5</xdr:col>
      <xdr:colOff>423808</xdr:colOff>
      <xdr:row>15</xdr:row>
      <xdr:rowOff>24848</xdr:rowOff>
    </xdr:to>
    <xdr:sp macro="" textlink="Data_Output">
      <xdr:nvSpPr>
        <xdr:cNvPr id="15" name="TextBox 8">
          <a:extLst>
            <a:ext uri="{FF2B5EF4-FFF2-40B4-BE49-F238E27FC236}">
              <a16:creationId xmlns:a16="http://schemas.microsoft.com/office/drawing/2014/main" id="{00000000-0008-0000-0300-00000F000000}"/>
            </a:ext>
          </a:extLst>
        </xdr:cNvPr>
        <xdr:cNvSpPr txBox="1"/>
      </xdr:nvSpPr>
      <xdr:spPr>
        <a:xfrm>
          <a:off x="0" y="2493837"/>
          <a:ext cx="3493089" cy="63698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a:spcAft>
              <a:spcPts val="0"/>
            </a:spcAft>
          </a:pPr>
          <a:fld id="{F1E293C2-1806-4D5E-B449-30BCAAF7E236}" type="TxLink">
            <a:rPr lang="en-US" sz="1000" b="0" i="0" u="none" strike="noStrike">
              <a:solidFill>
                <a:srgbClr val="000000"/>
              </a:solidFill>
              <a:effectLst/>
              <a:latin typeface="Arial Narrow"/>
              <a:ea typeface="Times New Roman" panose="02020603050405020304" pitchFamily="18" charset="0"/>
              <a:cs typeface="Times New Roman" panose="02020603050405020304" pitchFamily="18" charset="0"/>
            </a:rPr>
            <a:pPr>
              <a:spcAft>
                <a:spcPts val="0"/>
              </a:spcAft>
            </a:pPr>
            <a:t>Mata Uang		: Rupiah
Premi Tunggal		: 12.000.000
Premi Top Up Tunggal	: 988.000.000
Premi Total		: 1.000.000.000</a:t>
          </a:fld>
          <a:endParaRPr lang="en-MY"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6</xdr:col>
      <xdr:colOff>154225</xdr:colOff>
      <xdr:row>12</xdr:row>
      <xdr:rowOff>14210</xdr:rowOff>
    </xdr:from>
    <xdr:to>
      <xdr:col>9</xdr:col>
      <xdr:colOff>591364</xdr:colOff>
      <xdr:row>14</xdr:row>
      <xdr:rowOff>4248</xdr:rowOff>
    </xdr:to>
    <xdr:sp macro="" textlink="">
      <xdr:nvSpPr>
        <xdr:cNvPr id="16" name="Text Box 24">
          <a:extLst>
            <a:ext uri="{FF2B5EF4-FFF2-40B4-BE49-F238E27FC236}">
              <a16:creationId xmlns:a16="http://schemas.microsoft.com/office/drawing/2014/main" id="{00000000-0008-0000-0300-000010000000}"/>
            </a:ext>
          </a:extLst>
        </xdr:cNvPr>
        <xdr:cNvSpPr txBox="1"/>
      </xdr:nvSpPr>
      <xdr:spPr>
        <a:xfrm>
          <a:off x="3649486" y="2498993"/>
          <a:ext cx="2201336" cy="391637"/>
        </a:xfrm>
        <a:prstGeom prst="rect">
          <a:avLst/>
        </a:prstGeom>
        <a:noFill/>
        <a:ln w="6350">
          <a:noFill/>
        </a:ln>
        <a:effec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nSpc>
              <a:spcPct val="107000"/>
            </a:lnSpc>
            <a:spcAft>
              <a:spcPts val="0"/>
            </a:spcAft>
          </a:pPr>
          <a:r>
            <a:rPr lang="en-US" sz="1000">
              <a:effectLst/>
              <a:latin typeface="Arial Narrow" panose="020B0606020202030204" pitchFamily="34" charset="0"/>
              <a:ea typeface="Calibri" panose="020F0502020204030204" pitchFamily="34" charset="0"/>
              <a:cs typeface="Times New Roman" panose="02020603050405020304" pitchFamily="18" charset="0"/>
            </a:rPr>
            <a:t>Pilihan Jenis Investasi (%)</a:t>
          </a:r>
          <a:endParaRPr lang="en-MY" sz="1100">
            <a:effectLst/>
            <a:ea typeface="Calibri" panose="020F0502020204030204" pitchFamily="34" charset="0"/>
            <a:cs typeface="Times New Roman" panose="02020603050405020304" pitchFamily="18" charset="0"/>
          </a:endParaRPr>
        </a:p>
        <a:p>
          <a:pPr>
            <a:lnSpc>
              <a:spcPct val="107000"/>
            </a:lnSpc>
            <a:spcAft>
              <a:spcPts val="0"/>
            </a:spcAft>
          </a:pPr>
          <a:r>
            <a:rPr lang="en-US" sz="1000">
              <a:effectLst/>
              <a:latin typeface="Arial Narrow" panose="020B0606020202030204" pitchFamily="34" charset="0"/>
              <a:ea typeface="Calibri" panose="020F0502020204030204" pitchFamily="34" charset="0"/>
              <a:cs typeface="Times New Roman" panose="02020603050405020304" pitchFamily="18" charset="0"/>
            </a:rPr>
            <a:t>TM Invest Pro Plus Fund: 100%</a:t>
          </a:r>
          <a:endParaRPr lang="en-MY" sz="1100">
            <a:effectLst/>
            <a:ea typeface="Calibri" panose="020F0502020204030204" pitchFamily="34" charset="0"/>
            <a:cs typeface="Times New Roman" panose="02020603050405020304" pitchFamily="18" charset="0"/>
          </a:endParaRPr>
        </a:p>
        <a:p>
          <a:pPr>
            <a:lnSpc>
              <a:spcPct val="107000"/>
            </a:lnSpc>
            <a:spcAft>
              <a:spcPts val="800"/>
            </a:spcAft>
          </a:pPr>
          <a:r>
            <a:rPr lang="en-US" sz="1100">
              <a:effectLst/>
              <a:ea typeface="Calibri" panose="020F0502020204030204" pitchFamily="34" charset="0"/>
              <a:cs typeface="Times New Roman" panose="02020603050405020304" pitchFamily="18" charset="0"/>
            </a:rPr>
            <a:t> </a:t>
          </a:r>
          <a:endParaRPr lang="en-MY" sz="1100">
            <a:effectLst/>
            <a:ea typeface="Calibri" panose="020F0502020204030204" pitchFamily="34" charset="0"/>
            <a:cs typeface="Times New Roman" panose="02020603050405020304" pitchFamily="18" charset="0"/>
          </a:endParaRPr>
        </a:p>
        <a:p>
          <a:pPr>
            <a:lnSpc>
              <a:spcPct val="107000"/>
            </a:lnSpc>
            <a:spcAft>
              <a:spcPts val="800"/>
            </a:spcAft>
          </a:pPr>
          <a:r>
            <a:rPr lang="en-US" sz="1100">
              <a:effectLst/>
              <a:ea typeface="Calibri" panose="020F0502020204030204" pitchFamily="34" charset="0"/>
              <a:cs typeface="Times New Roman" panose="02020603050405020304" pitchFamily="18" charset="0"/>
            </a:rPr>
            <a:t> </a:t>
          </a:r>
          <a:endParaRPr lang="en-MY" sz="1100">
            <a:effectLst/>
            <a:ea typeface="Calibri" panose="020F0502020204030204" pitchFamily="34" charset="0"/>
            <a:cs typeface="Times New Roman" panose="02020603050405020304" pitchFamily="18" charset="0"/>
          </a:endParaRPr>
        </a:p>
      </xdr:txBody>
    </xdr:sp>
    <xdr:clientData/>
  </xdr:twoCellAnchor>
  <xdr:oneCellAnchor>
    <xdr:from>
      <xdr:col>0</xdr:col>
      <xdr:colOff>0</xdr:colOff>
      <xdr:row>18</xdr:row>
      <xdr:rowOff>10457</xdr:rowOff>
    </xdr:from>
    <xdr:ext cx="1130962" cy="386644"/>
    <xdr:sp macro="" textlink="">
      <xdr:nvSpPr>
        <xdr:cNvPr id="18" name="Rectangle 17">
          <a:extLst>
            <a:ext uri="{FF2B5EF4-FFF2-40B4-BE49-F238E27FC236}">
              <a16:creationId xmlns:a16="http://schemas.microsoft.com/office/drawing/2014/main" id="{00000000-0008-0000-0300-000012000000}"/>
            </a:ext>
          </a:extLst>
        </xdr:cNvPr>
        <xdr:cNvSpPr/>
      </xdr:nvSpPr>
      <xdr:spPr>
        <a:xfrm>
          <a:off x="0" y="3835111"/>
          <a:ext cx="1130962" cy="3866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AutoFit/>
        </a:bodyPr>
        <a:lstStyle/>
        <a:p>
          <a:pPr algn="l"/>
          <a:r>
            <a:rPr lang="en-MY" sz="1000" b="1">
              <a:solidFill>
                <a:sysClr val="windowText" lastClr="000000"/>
              </a:solidFill>
              <a:latin typeface="Arial Narrow" panose="020B0606020202030204" pitchFamily="34" charset="0"/>
            </a:rPr>
            <a:t>Asuransi</a:t>
          </a:r>
          <a:r>
            <a:rPr lang="en-MY" sz="1000" b="1" baseline="0">
              <a:solidFill>
                <a:sysClr val="windowText" lastClr="000000"/>
              </a:solidFill>
              <a:latin typeface="Arial Narrow" panose="020B0606020202030204" pitchFamily="34" charset="0"/>
            </a:rPr>
            <a:t> Dasar</a:t>
          </a:r>
        </a:p>
        <a:p>
          <a:pPr algn="l"/>
          <a:r>
            <a:rPr lang="en-MY" sz="1000" b="1" baseline="0">
              <a:solidFill>
                <a:sysClr val="windowText" lastClr="000000"/>
              </a:solidFill>
              <a:latin typeface="Arial Narrow" panose="020B0606020202030204" pitchFamily="34" charset="0"/>
            </a:rPr>
            <a:t>  </a:t>
          </a:r>
          <a:r>
            <a:rPr lang="en-MY" sz="1000" b="0" baseline="0">
              <a:solidFill>
                <a:sysClr val="windowText" lastClr="000000"/>
              </a:solidFill>
              <a:latin typeface="Arial Narrow" panose="020B0606020202030204" pitchFamily="34" charset="0"/>
            </a:rPr>
            <a:t>TM Invest Pro</a:t>
          </a:r>
          <a:endParaRPr lang="en-MY" sz="1000" b="1">
            <a:solidFill>
              <a:sysClr val="windowText" lastClr="000000"/>
            </a:solidFill>
            <a:latin typeface="Arial Narrow" panose="020B0606020202030204" pitchFamily="34" charset="0"/>
          </a:endParaRPr>
        </a:p>
      </xdr:txBody>
    </xdr:sp>
    <xdr:clientData/>
  </xdr:oneCellAnchor>
  <xdr:oneCellAnchor>
    <xdr:from>
      <xdr:col>3</xdr:col>
      <xdr:colOff>454896</xdr:colOff>
      <xdr:row>16</xdr:row>
      <xdr:rowOff>72801</xdr:rowOff>
    </xdr:from>
    <xdr:ext cx="1395259" cy="680956"/>
    <xdr:sp macro="" textlink="">
      <xdr:nvSpPr>
        <xdr:cNvPr id="19" name="Rectangle 18">
          <a:extLst>
            <a:ext uri="{FF2B5EF4-FFF2-40B4-BE49-F238E27FC236}">
              <a16:creationId xmlns:a16="http://schemas.microsoft.com/office/drawing/2014/main" id="{00000000-0008-0000-0300-000013000000}"/>
            </a:ext>
          </a:extLst>
        </xdr:cNvPr>
        <xdr:cNvSpPr/>
      </xdr:nvSpPr>
      <xdr:spPr>
        <a:xfrm>
          <a:off x="2110781" y="3472493"/>
          <a:ext cx="1395259" cy="6809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AutoFit/>
        </a:bodyPr>
        <a:lstStyle/>
        <a:p>
          <a:pPr algn="l"/>
          <a:r>
            <a:rPr lang="en-MY" sz="1000" b="1">
              <a:solidFill>
                <a:sysClr val="windowText" lastClr="000000"/>
              </a:solidFill>
              <a:latin typeface="Arial Narrow" panose="020B0606020202030204" pitchFamily="34" charset="0"/>
            </a:rPr>
            <a:t>Uang Pertanggungan</a:t>
          </a:r>
          <a:endParaRPr lang="en-MY" sz="1000" b="1" baseline="0">
            <a:solidFill>
              <a:sysClr val="windowText" lastClr="000000"/>
            </a:solidFill>
            <a:latin typeface="Arial Narrow" panose="020B0606020202030204" pitchFamily="34" charset="0"/>
          </a:endParaRPr>
        </a:p>
        <a:p>
          <a:pPr algn="l"/>
          <a:r>
            <a:rPr lang="en-MY" sz="1000" b="1" baseline="0">
              <a:solidFill>
                <a:sysClr val="windowText" lastClr="000000"/>
              </a:solidFill>
              <a:latin typeface="Arial Narrow" panose="020B0606020202030204" pitchFamily="34" charset="0"/>
            </a:rPr>
            <a:t>  </a:t>
          </a:r>
        </a:p>
        <a:p>
          <a:pPr algn="l"/>
          <a:endParaRPr lang="en-MY" sz="1000" b="1" baseline="0">
            <a:solidFill>
              <a:sysClr val="windowText" lastClr="000000"/>
            </a:solidFill>
            <a:latin typeface="Arial Narrow" panose="020B0606020202030204" pitchFamily="34" charset="0"/>
          </a:endParaRPr>
        </a:p>
        <a:p>
          <a:pPr algn="l"/>
          <a:r>
            <a:rPr lang="en-MY" sz="1000" b="0" baseline="0">
              <a:solidFill>
                <a:sysClr val="windowText" lastClr="000000"/>
              </a:solidFill>
              <a:latin typeface="Arial Narrow" panose="020B0606020202030204" pitchFamily="34" charset="0"/>
            </a:rPr>
            <a:t>         15.000.000</a:t>
          </a:r>
          <a:endParaRPr lang="en-MY" sz="1000" b="1">
            <a:solidFill>
              <a:sysClr val="windowText" lastClr="000000"/>
            </a:solidFill>
            <a:latin typeface="Arial Narrow" panose="020B0606020202030204" pitchFamily="34" charset="0"/>
          </a:endParaRPr>
        </a:p>
      </xdr:txBody>
    </xdr:sp>
    <xdr:clientData/>
  </xdr:oneCellAnchor>
  <xdr:oneCellAnchor>
    <xdr:from>
      <xdr:col>7</xdr:col>
      <xdr:colOff>64182</xdr:colOff>
      <xdr:row>16</xdr:row>
      <xdr:rowOff>72801</xdr:rowOff>
    </xdr:from>
    <xdr:ext cx="1395064" cy="680956"/>
    <xdr:sp macro="" textlink="">
      <xdr:nvSpPr>
        <xdr:cNvPr id="21" name="Rectangle 20">
          <a:extLst>
            <a:ext uri="{FF2B5EF4-FFF2-40B4-BE49-F238E27FC236}">
              <a16:creationId xmlns:a16="http://schemas.microsoft.com/office/drawing/2014/main" id="{00000000-0008-0000-0300-000015000000}"/>
            </a:ext>
          </a:extLst>
        </xdr:cNvPr>
        <xdr:cNvSpPr/>
      </xdr:nvSpPr>
      <xdr:spPr>
        <a:xfrm>
          <a:off x="4152605" y="3472493"/>
          <a:ext cx="1395064" cy="6809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AutoFit/>
        </a:bodyPr>
        <a:lstStyle/>
        <a:p>
          <a:pPr algn="l"/>
          <a:r>
            <a:rPr lang="en-MY" sz="1000" b="1">
              <a:solidFill>
                <a:sysClr val="windowText" lastClr="000000"/>
              </a:solidFill>
              <a:latin typeface="Arial Narrow" panose="020B0606020202030204" pitchFamily="34" charset="0"/>
            </a:rPr>
            <a:t>Masa Pertanggungan</a:t>
          </a:r>
          <a:endParaRPr lang="en-MY" sz="1000" b="1" baseline="0">
            <a:solidFill>
              <a:sysClr val="windowText" lastClr="000000"/>
            </a:solidFill>
            <a:latin typeface="Arial Narrow" panose="020B0606020202030204" pitchFamily="34" charset="0"/>
          </a:endParaRPr>
        </a:p>
        <a:p>
          <a:pPr algn="l"/>
          <a:r>
            <a:rPr lang="en-MY" sz="1000" b="1" baseline="0">
              <a:solidFill>
                <a:sysClr val="windowText" lastClr="000000"/>
              </a:solidFill>
              <a:latin typeface="Arial Narrow" panose="020B0606020202030204" pitchFamily="34" charset="0"/>
            </a:rPr>
            <a:t>            (Tahun)</a:t>
          </a:r>
        </a:p>
        <a:p>
          <a:pPr algn="l"/>
          <a:endParaRPr lang="en-MY" sz="1000" b="1" baseline="0">
            <a:solidFill>
              <a:sysClr val="windowText" lastClr="000000"/>
            </a:solidFill>
            <a:latin typeface="Arial Narrow" panose="020B0606020202030204" pitchFamily="34" charset="0"/>
          </a:endParaRPr>
        </a:p>
        <a:p>
          <a:pPr algn="l"/>
          <a:r>
            <a:rPr lang="en-MY" sz="1000" b="0" baseline="0">
              <a:solidFill>
                <a:sysClr val="windowText" lastClr="000000"/>
              </a:solidFill>
              <a:latin typeface="Arial Narrow" panose="020B0606020202030204" pitchFamily="34" charset="0"/>
            </a:rPr>
            <a:t>                  5</a:t>
          </a:r>
          <a:endParaRPr lang="en-MY" sz="1000" b="1">
            <a:solidFill>
              <a:sysClr val="windowText" lastClr="000000"/>
            </a:solidFill>
            <a:latin typeface="Arial Narrow" panose="020B0606020202030204" pitchFamily="34" charset="0"/>
          </a:endParaRPr>
        </a:p>
      </xdr:txBody>
    </xdr:sp>
    <xdr:clientData/>
  </xdr:oneCellAnchor>
  <xdr:twoCellAnchor editAs="oneCell">
    <xdr:from>
      <xdr:col>0</xdr:col>
      <xdr:colOff>4907</xdr:colOff>
      <xdr:row>22</xdr:row>
      <xdr:rowOff>15698</xdr:rowOff>
    </xdr:from>
    <xdr:to>
      <xdr:col>9</xdr:col>
      <xdr:colOff>616323</xdr:colOff>
      <xdr:row>29</xdr:row>
      <xdr:rowOff>72241</xdr:rowOff>
    </xdr:to>
    <xdr:sp macro="" textlink="">
      <xdr:nvSpPr>
        <xdr:cNvPr id="30" name="Text Box 2">
          <a:extLst>
            <a:ext uri="{FF2B5EF4-FFF2-40B4-BE49-F238E27FC236}">
              <a16:creationId xmlns:a16="http://schemas.microsoft.com/office/drawing/2014/main" id="{00000000-0008-0000-0300-00001E000000}"/>
            </a:ext>
          </a:extLst>
        </xdr:cNvPr>
        <xdr:cNvSpPr txBox="1">
          <a:spLocks noChangeArrowheads="1"/>
        </xdr:cNvSpPr>
      </xdr:nvSpPr>
      <xdr:spPr bwMode="auto">
        <a:xfrm>
          <a:off x="4907" y="4699757"/>
          <a:ext cx="6057475" cy="1446072"/>
        </a:xfrm>
        <a:prstGeom prst="rect">
          <a:avLst/>
        </a:prstGeom>
        <a:noFill/>
        <a:ln w="9525">
          <a:solidFill>
            <a:sysClr val="windowText" lastClr="000000"/>
          </a:solidFill>
          <a:miter lim="800000"/>
          <a:headEnd/>
          <a:tailEnd/>
        </a:ln>
      </xdr:spPr>
      <xdr:txBody>
        <a:bodyPr rot="0" vert="horz" wrap="square" lIns="91440" tIns="45720" rIns="91440" bIns="45720" anchor="t" anchorCtr="0">
          <a:noAutofit/>
        </a:bodyPr>
        <a:lstStyle/>
        <a:p>
          <a:pPr>
            <a:lnSpc>
              <a:spcPct val="107000"/>
            </a:lnSpc>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endParaRPr lang="en-MY"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oneCellAnchor>
    <xdr:from>
      <xdr:col>0</xdr:col>
      <xdr:colOff>6039</xdr:colOff>
      <xdr:row>22</xdr:row>
      <xdr:rowOff>235</xdr:rowOff>
    </xdr:from>
    <xdr:ext cx="6078755" cy="1000338"/>
    <xdr:sp macro="" textlink="">
      <xdr:nvSpPr>
        <xdr:cNvPr id="33" name="Rectangle 32">
          <a:extLst>
            <a:ext uri="{FF2B5EF4-FFF2-40B4-BE49-F238E27FC236}">
              <a16:creationId xmlns:a16="http://schemas.microsoft.com/office/drawing/2014/main" id="{00000000-0008-0000-0300-000021000000}"/>
            </a:ext>
          </a:extLst>
        </xdr:cNvPr>
        <xdr:cNvSpPr/>
      </xdr:nvSpPr>
      <xdr:spPr>
        <a:xfrm>
          <a:off x="6039" y="4684294"/>
          <a:ext cx="6078755" cy="100033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just"/>
          <a:r>
            <a:rPr lang="en-MY" sz="1000" b="1">
              <a:solidFill>
                <a:schemeClr val="tx1"/>
              </a:solidFill>
              <a:effectLst/>
              <a:latin typeface="Arial Narrow" panose="020B0606020202030204" pitchFamily="34" charset="0"/>
              <a:ea typeface="+mn-ea"/>
              <a:cs typeface="+mn-cs"/>
            </a:rPr>
            <a:t>TM Invest Pro</a:t>
          </a:r>
          <a:endParaRPr lang="en-MY" sz="1000">
            <a:solidFill>
              <a:schemeClr val="tx1"/>
            </a:solidFill>
            <a:effectLst/>
            <a:latin typeface="Arial Narrow" panose="020B0606020202030204" pitchFamily="34" charset="0"/>
          </a:endParaRPr>
        </a:p>
        <a:p>
          <a:pPr algn="just"/>
          <a:r>
            <a:rPr lang="en-MY" sz="1000" b="1">
              <a:solidFill>
                <a:schemeClr val="tx1"/>
              </a:solidFill>
              <a:effectLst/>
              <a:latin typeface="Arial Narrow" panose="020B0606020202030204" pitchFamily="34" charset="0"/>
              <a:ea typeface="+mn-ea"/>
              <a:cs typeface="+mn-cs"/>
            </a:rPr>
            <a:t>Manfaat</a:t>
          </a:r>
          <a:r>
            <a:rPr lang="en-MY" sz="1000" b="1" baseline="0">
              <a:solidFill>
                <a:schemeClr val="tx1"/>
              </a:solidFill>
              <a:effectLst/>
              <a:latin typeface="Arial Narrow" panose="020B0606020202030204" pitchFamily="34" charset="0"/>
              <a:ea typeface="+mn-ea"/>
              <a:cs typeface="+mn-cs"/>
            </a:rPr>
            <a:t> Meninggal Dunia</a:t>
          </a:r>
          <a:r>
            <a:rPr lang="en-MY" sz="1000" b="0" baseline="0">
              <a:solidFill>
                <a:schemeClr val="tx1"/>
              </a:solidFill>
              <a:effectLst/>
              <a:latin typeface="Arial Narrow" panose="020B0606020202030204" pitchFamily="34" charset="0"/>
              <a:ea typeface="+mn-ea"/>
              <a:cs typeface="+mn-cs"/>
            </a:rPr>
            <a:t>:</a:t>
          </a:r>
          <a:endParaRPr lang="en-MY" sz="1000">
            <a:solidFill>
              <a:schemeClr val="tx1"/>
            </a:solidFill>
            <a:effectLst/>
            <a:latin typeface="Arial Narrow" panose="020B0606020202030204" pitchFamily="34" charset="0"/>
          </a:endParaRPr>
        </a:p>
        <a:p>
          <a:pPr algn="just"/>
          <a:r>
            <a:rPr lang="en-MY" sz="1000">
              <a:solidFill>
                <a:schemeClr val="tx1"/>
              </a:solidFill>
              <a:effectLst/>
              <a:latin typeface="Arial Narrow" panose="020B0606020202030204" pitchFamily="34" charset="0"/>
              <a:ea typeface="+mn-ea"/>
              <a:cs typeface="+mn-cs"/>
            </a:rPr>
            <a:t>Manfaat Meninggal Dunia akan dibayarkan jika Tertanggung Meninggal Dunia pada saat Polis masih berlaku sebesar 100% (seratus per seratus) Uang Pertanggungan (UP) ditambah 100% (seratus per seratus) dari total Nilai Investasi. Polis akan berakhir apabila 100% (seratus per seratus) dari UP dan / atau total Nilai Investasi seluruhnya dibayarkan.</a:t>
          </a:r>
          <a:endParaRPr lang="en-MY" sz="1000">
            <a:solidFill>
              <a:schemeClr val="tx1"/>
            </a:solidFill>
            <a:effectLst/>
            <a:latin typeface="Arial Narrow" panose="020B0606020202030204" pitchFamily="34" charset="0"/>
          </a:endParaRPr>
        </a:p>
        <a:p>
          <a:pPr algn="l"/>
          <a:endParaRPr lang="en-MY" sz="1100">
            <a:solidFill>
              <a:schemeClr val="tx1"/>
            </a:solidFill>
          </a:endParaRPr>
        </a:p>
      </xdr:txBody>
    </xdr:sp>
    <xdr:clientData/>
  </xdr:oneCellAnchor>
  <xdr:twoCellAnchor>
    <xdr:from>
      <xdr:col>0</xdr:col>
      <xdr:colOff>0</xdr:colOff>
      <xdr:row>30</xdr:row>
      <xdr:rowOff>77408</xdr:rowOff>
    </xdr:from>
    <xdr:to>
      <xdr:col>9</xdr:col>
      <xdr:colOff>625116</xdr:colOff>
      <xdr:row>42</xdr:row>
      <xdr:rowOff>78441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0" y="6363908"/>
          <a:ext cx="6071175" cy="2488739"/>
          <a:chOff x="-1" y="6263483"/>
          <a:chExt cx="6580383" cy="2473510"/>
        </a:xfrm>
      </xdr:grpSpPr>
      <xdr:sp macro="" textlink="">
        <xdr:nvSpPr>
          <xdr:cNvPr id="50" name="Text Box 2">
            <a:extLst>
              <a:ext uri="{FF2B5EF4-FFF2-40B4-BE49-F238E27FC236}">
                <a16:creationId xmlns:a16="http://schemas.microsoft.com/office/drawing/2014/main" id="{00000000-0008-0000-0300-000032000000}"/>
              </a:ext>
            </a:extLst>
          </xdr:cNvPr>
          <xdr:cNvSpPr txBox="1">
            <a:spLocks noChangeArrowheads="1"/>
          </xdr:cNvSpPr>
        </xdr:nvSpPr>
        <xdr:spPr bwMode="auto">
          <a:xfrm>
            <a:off x="-1" y="6297704"/>
            <a:ext cx="6570853" cy="2340954"/>
          </a:xfrm>
          <a:prstGeom prst="rect">
            <a:avLst/>
          </a:prstGeom>
          <a:noFill/>
          <a:ln w="9525">
            <a:solidFill>
              <a:sysClr val="windowText" lastClr="000000"/>
            </a:solidFill>
            <a:miter lim="800000"/>
            <a:headEnd/>
            <a:tailEnd/>
          </a:ln>
        </xdr:spPr>
        <xdr:txBody>
          <a:bodyPr rot="0" vertOverflow="clip" horzOverflow="clip" vert="horz" wrap="square" lIns="91440" tIns="45720" rIns="91440" bIns="45720" anchor="t" anchorCtr="0">
            <a:noAutofit/>
          </a:bodyPr>
          <a:lstStyle/>
          <a:p>
            <a:pPr>
              <a:lnSpc>
                <a:spcPct val="107000"/>
              </a:lnSpc>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endParaRPr lang="en-MY"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53" name="Rectangle 52">
            <a:extLst>
              <a:ext uri="{FF2B5EF4-FFF2-40B4-BE49-F238E27FC236}">
                <a16:creationId xmlns:a16="http://schemas.microsoft.com/office/drawing/2014/main" id="{00000000-0008-0000-0300-000035000000}"/>
              </a:ext>
            </a:extLst>
          </xdr:cNvPr>
          <xdr:cNvSpPr>
            <a:spLocks noChangeAspect="1"/>
          </xdr:cNvSpPr>
        </xdr:nvSpPr>
        <xdr:spPr>
          <a:xfrm>
            <a:off x="0" y="6263483"/>
            <a:ext cx="6580382" cy="24735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r>
              <a:rPr lang="en-US" sz="1000" b="1">
                <a:solidFill>
                  <a:sysClr val="windowText" lastClr="000000"/>
                </a:solidFill>
                <a:effectLst/>
                <a:latin typeface="Arial Narrow" panose="020B0606020202030204" pitchFamily="34" charset="0"/>
                <a:ea typeface="+mn-ea"/>
                <a:cs typeface="+mn-cs"/>
              </a:rPr>
              <a:t>Persyaratan Underwriting</a:t>
            </a:r>
            <a:endParaRPr lang="en-MY" sz="1000">
              <a:solidFill>
                <a:sysClr val="windowText" lastClr="000000"/>
              </a:solidFill>
              <a:effectLst/>
              <a:latin typeface="Arial Narrow" panose="020B0606020202030204" pitchFamily="34" charset="0"/>
              <a:ea typeface="+mn-ea"/>
              <a:cs typeface="+mn-cs"/>
            </a:endParaRPr>
          </a:p>
          <a:p>
            <a:r>
              <a:rPr lang="en-US" sz="1000" b="1">
                <a:solidFill>
                  <a:sysClr val="windowText" lastClr="000000"/>
                </a:solidFill>
                <a:effectLst/>
                <a:latin typeface="Arial Narrow" panose="020B0606020202030204" pitchFamily="34" charset="0"/>
                <a:ea typeface="+mn-ea"/>
                <a:cs typeface="+mn-cs"/>
              </a:rPr>
              <a:t>1. Persyaratan Medis</a:t>
            </a:r>
            <a:endParaRPr lang="en-MY" sz="1000">
              <a:solidFill>
                <a:sysClr val="windowText" lastClr="000000"/>
              </a:solidFill>
              <a:effectLst/>
              <a:latin typeface="Arial Narrow" panose="020B0606020202030204" pitchFamily="34" charset="0"/>
              <a:ea typeface="+mn-ea"/>
              <a:cs typeface="+mn-cs"/>
            </a:endParaRPr>
          </a:p>
          <a:p>
            <a:r>
              <a:rPr lang="en-US" sz="1000" b="1">
                <a:solidFill>
                  <a:sysClr val="windowText" lastClr="000000"/>
                </a:solidFill>
                <a:effectLst/>
                <a:latin typeface="Arial Narrow" panose="020B0606020202030204" pitchFamily="34" charset="0"/>
                <a:ea typeface="+mn-ea"/>
                <a:cs typeface="+mn-cs"/>
              </a:rPr>
              <a:t>Pemeriksaan Kesehatan Tertanggung</a:t>
            </a:r>
            <a:endParaRPr lang="en-MY" sz="1000">
              <a:solidFill>
                <a:sysClr val="windowText" lastClr="000000"/>
              </a:solidFill>
              <a:effectLst/>
              <a:latin typeface="Arial Narrow" panose="020B0606020202030204" pitchFamily="34" charset="0"/>
              <a:ea typeface="+mn-ea"/>
              <a:cs typeface="+mn-cs"/>
            </a:endParaRPr>
          </a:p>
          <a:p>
            <a:r>
              <a:rPr lang="en-US" sz="1000">
                <a:solidFill>
                  <a:sysClr val="windowText" lastClr="000000"/>
                </a:solidFill>
                <a:effectLst/>
                <a:latin typeface="Arial Narrow" panose="020B0606020202030204" pitchFamily="34" charset="0"/>
                <a:ea typeface="+mn-ea"/>
                <a:cs typeface="+mn-cs"/>
              </a:rPr>
              <a:t>Tidak membutuhkan pemeriksaan kesehatan</a:t>
            </a:r>
            <a:endParaRPr lang="en-MY" sz="1000">
              <a:solidFill>
                <a:sysClr val="windowText" lastClr="000000"/>
              </a:solidFill>
              <a:effectLst/>
              <a:latin typeface="Arial Narrow" panose="020B0606020202030204" pitchFamily="34" charset="0"/>
              <a:ea typeface="+mn-ea"/>
              <a:cs typeface="+mn-cs"/>
            </a:endParaRPr>
          </a:p>
          <a:p>
            <a:r>
              <a:rPr lang="en-US" sz="1000">
                <a:solidFill>
                  <a:sysClr val="windowText" lastClr="000000"/>
                </a:solidFill>
                <a:effectLst/>
                <a:latin typeface="Arial Narrow" panose="020B0606020202030204" pitchFamily="34" charset="0"/>
                <a:ea typeface="+mn-ea"/>
                <a:cs typeface="+mn-cs"/>
              </a:rPr>
              <a:t> </a:t>
            </a:r>
            <a:endParaRPr lang="en-MY" sz="1000">
              <a:solidFill>
                <a:sysClr val="windowText" lastClr="000000"/>
              </a:solidFill>
              <a:effectLst/>
              <a:latin typeface="Arial Narrow" panose="020B0606020202030204" pitchFamily="34" charset="0"/>
              <a:ea typeface="+mn-ea"/>
              <a:cs typeface="+mn-cs"/>
            </a:endParaRPr>
          </a:p>
          <a:p>
            <a:r>
              <a:rPr lang="en-US" sz="1000" b="1">
                <a:solidFill>
                  <a:sysClr val="windowText" lastClr="000000"/>
                </a:solidFill>
                <a:effectLst/>
                <a:latin typeface="Arial Narrow" panose="020B0606020202030204" pitchFamily="34" charset="0"/>
                <a:ea typeface="+mn-ea"/>
                <a:cs typeface="+mn-cs"/>
              </a:rPr>
              <a:t>2. Persyaratan Dokumen Keuangan</a:t>
            </a:r>
            <a:endParaRPr lang="en-MY" sz="1000">
              <a:solidFill>
                <a:sysClr val="windowText" lastClr="000000"/>
              </a:solidFill>
              <a:effectLst/>
              <a:latin typeface="Arial Narrow" panose="020B0606020202030204" pitchFamily="34" charset="0"/>
              <a:ea typeface="+mn-ea"/>
              <a:cs typeface="+mn-cs"/>
            </a:endParaRPr>
          </a:p>
          <a:p>
            <a:r>
              <a:rPr lang="en-US" sz="1000">
                <a:solidFill>
                  <a:sysClr val="windowText" lastClr="000000"/>
                </a:solidFill>
                <a:effectLst/>
                <a:latin typeface="Arial Narrow" panose="020B0606020202030204" pitchFamily="34" charset="0"/>
                <a:ea typeface="+mn-ea"/>
                <a:cs typeface="+mn-cs"/>
              </a:rPr>
              <a:t>Tidak Ada</a:t>
            </a:r>
          </a:p>
          <a:p>
            <a:endParaRPr lang="en-US" sz="1000">
              <a:solidFill>
                <a:sysClr val="windowText" lastClr="000000"/>
              </a:solidFill>
              <a:effectLst/>
              <a:latin typeface="Arial Narrow" panose="020B0606020202030204" pitchFamily="34" charset="0"/>
              <a:ea typeface="+mn-ea"/>
              <a:cs typeface="+mn-cs"/>
            </a:endParaRPr>
          </a:p>
          <a:p>
            <a:r>
              <a:rPr lang="en-US" sz="800">
                <a:solidFill>
                  <a:sysClr val="windowText" lastClr="000000"/>
                </a:solidFill>
                <a:effectLst/>
                <a:latin typeface="Arial Narrow" panose="020B0606020202030204" pitchFamily="34" charset="0"/>
                <a:ea typeface="+mn-ea"/>
                <a:cs typeface="+mn-cs"/>
              </a:rPr>
              <a:t>Catatan:</a:t>
            </a:r>
            <a:endParaRPr lang="en-MY" sz="800">
              <a:solidFill>
                <a:sysClr val="windowText" lastClr="000000"/>
              </a:solidFill>
              <a:effectLst/>
              <a:latin typeface="Arial Narrow" panose="020B0606020202030204" pitchFamily="34" charset="0"/>
              <a:ea typeface="+mn-ea"/>
              <a:cs typeface="+mn-cs"/>
            </a:endParaRPr>
          </a:p>
          <a:p>
            <a:pPr marL="171450" lvl="0" indent="-171450" algn="just">
              <a:buFont typeface="Arial Narrow" panose="020B0606020202030204" pitchFamily="34" charset="0"/>
              <a:buChar char="−"/>
            </a:pPr>
            <a:r>
              <a:rPr lang="en-US" sz="800">
                <a:solidFill>
                  <a:sysClr val="windowText" lastClr="000000"/>
                </a:solidFill>
                <a:effectLst/>
                <a:latin typeface="Arial Narrow" panose="020B0606020202030204" pitchFamily="34" charset="0"/>
                <a:ea typeface="+mn-ea"/>
                <a:cs typeface="+mn-cs"/>
              </a:rPr>
              <a:t>Pemeriksaan kesehatan oleh dokter harus menggunakan Formulir Laporan Pemeriksaan Kesehatan (LPK) yang disediakan oleh Penanggung.</a:t>
            </a:r>
            <a:endParaRPr lang="en-MY" sz="800">
              <a:solidFill>
                <a:sysClr val="windowText" lastClr="000000"/>
              </a:solidFill>
              <a:effectLst/>
              <a:latin typeface="Arial Narrow" panose="020B0606020202030204" pitchFamily="34" charset="0"/>
              <a:ea typeface="+mn-ea"/>
              <a:cs typeface="+mn-cs"/>
            </a:endParaRPr>
          </a:p>
          <a:p>
            <a:pPr marL="171450" lvl="0" indent="-171450" algn="just">
              <a:buFont typeface="Arial Narrow" panose="020B0606020202030204" pitchFamily="34" charset="0"/>
              <a:buChar char="−"/>
            </a:pPr>
            <a:r>
              <a:rPr lang="en-US" sz="800">
                <a:solidFill>
                  <a:sysClr val="windowText" lastClr="000000"/>
                </a:solidFill>
                <a:effectLst/>
                <a:latin typeface="Arial Narrow" panose="020B0606020202030204" pitchFamily="34" charset="0"/>
                <a:ea typeface="+mn-ea"/>
                <a:cs typeface="+mn-cs"/>
              </a:rPr>
              <a:t>Pemeriksaan kesehatan ditentukan berdasarkan Usia dari calon Tertanggung, Uang Pertanggungan dan produk asuransi.</a:t>
            </a:r>
            <a:endParaRPr lang="en-MY" sz="800">
              <a:solidFill>
                <a:sysClr val="windowText" lastClr="000000"/>
              </a:solidFill>
              <a:effectLst/>
              <a:latin typeface="Arial Narrow" panose="020B0606020202030204" pitchFamily="34" charset="0"/>
              <a:ea typeface="+mn-ea"/>
              <a:cs typeface="+mn-cs"/>
            </a:endParaRPr>
          </a:p>
          <a:p>
            <a:pPr marL="171450" lvl="0" indent="-171450" algn="just">
              <a:buFont typeface="Arial Narrow" panose="020B0606020202030204" pitchFamily="34" charset="0"/>
              <a:buChar char="−"/>
            </a:pPr>
            <a:r>
              <a:rPr lang="en-US" sz="800">
                <a:solidFill>
                  <a:sysClr val="windowText" lastClr="000000"/>
                </a:solidFill>
                <a:effectLst/>
                <a:latin typeface="Arial Narrow" panose="020B0606020202030204" pitchFamily="34" charset="0"/>
                <a:ea typeface="+mn-ea"/>
                <a:cs typeface="+mn-cs"/>
              </a:rPr>
              <a:t>Penanggung dapat meminta pemeriksaan kesehatan lanjutan dan/atau Dokumen Keuangan lainnya kepada calon Tertanggung dan/atau Pemegang Polis (bila diperlukan) berdasarkan informasi yang tersedia pada SPAJ, total Manfaat Asuransi pada Polis yang masih aktif atas calon Tertanggung dan/atau Pemegang Polis yang tercatat di Penanggung serta riwayat kesehatan &amp; klaim calon Tertanggung dan/atau Pemegang Polis.</a:t>
            </a:r>
            <a:endParaRPr lang="en-MY" sz="800">
              <a:solidFill>
                <a:sysClr val="windowText" lastClr="000000"/>
              </a:solidFill>
              <a:effectLst/>
              <a:latin typeface="Arial Narrow" panose="020B0606020202030204" pitchFamily="34" charset="0"/>
              <a:ea typeface="+mn-ea"/>
              <a:cs typeface="+mn-cs"/>
            </a:endParaRPr>
          </a:p>
          <a:p>
            <a:pPr marL="171450" lvl="0" indent="-171450" algn="just">
              <a:buFont typeface="Arial Narrow" panose="020B0606020202030204" pitchFamily="34" charset="0"/>
              <a:buChar char="−"/>
            </a:pPr>
            <a:r>
              <a:rPr lang="en-US" sz="800">
                <a:solidFill>
                  <a:sysClr val="windowText" lastClr="000000"/>
                </a:solidFill>
                <a:effectLst/>
                <a:latin typeface="Arial Narrow" panose="020B0606020202030204" pitchFamily="34" charset="0"/>
                <a:ea typeface="+mn-ea"/>
                <a:cs typeface="+mn-cs"/>
              </a:rPr>
              <a:t>Surat Pengantar Pemeriksaan Kesehatan dapat diperoleh melalui Financial Consultant Anda atau Kantor Pemasaran Penanggung terdekat.</a:t>
            </a:r>
            <a:endParaRPr lang="en-MY" sz="800">
              <a:solidFill>
                <a:sysClr val="windowText" lastClr="000000"/>
              </a:solidFill>
              <a:effectLst/>
              <a:latin typeface="Arial Narrow" panose="020B0606020202030204" pitchFamily="34" charset="0"/>
              <a:ea typeface="+mn-ea"/>
              <a:cs typeface="+mn-cs"/>
            </a:endParaRPr>
          </a:p>
        </xdr:txBody>
      </xdr:sp>
    </xdr:grpSp>
    <xdr:clientData/>
  </xdr:twoCellAnchor>
  <xdr:twoCellAnchor editAs="oneCell">
    <xdr:from>
      <xdr:col>0</xdr:col>
      <xdr:colOff>0</xdr:colOff>
      <xdr:row>246</xdr:row>
      <xdr:rowOff>14914</xdr:rowOff>
    </xdr:from>
    <xdr:to>
      <xdr:col>10</xdr:col>
      <xdr:colOff>4687</xdr:colOff>
      <xdr:row>259</xdr:row>
      <xdr:rowOff>58269</xdr:rowOff>
    </xdr:to>
    <xdr:grpSp>
      <xdr:nvGrpSpPr>
        <xdr:cNvPr id="6" name="Group 5">
          <a:extLst>
            <a:ext uri="{FF2B5EF4-FFF2-40B4-BE49-F238E27FC236}">
              <a16:creationId xmlns:a16="http://schemas.microsoft.com/office/drawing/2014/main" id="{00000000-0008-0000-0300-000006000000}"/>
            </a:ext>
          </a:extLst>
        </xdr:cNvPr>
        <xdr:cNvGrpSpPr>
          <a:grpSpLocks noChangeAspect="1"/>
        </xdr:cNvGrpSpPr>
      </xdr:nvGrpSpPr>
      <xdr:grpSpPr>
        <a:xfrm>
          <a:off x="0" y="50362943"/>
          <a:ext cx="6100687" cy="2811208"/>
          <a:chOff x="13096152" y="6012499"/>
          <a:chExt cx="6261556" cy="2749945"/>
        </a:xfrm>
      </xdr:grpSpPr>
      <xdr:grpSp>
        <xdr:nvGrpSpPr>
          <xdr:cNvPr id="5" name="Group 4">
            <a:extLst>
              <a:ext uri="{FF2B5EF4-FFF2-40B4-BE49-F238E27FC236}">
                <a16:creationId xmlns:a16="http://schemas.microsoft.com/office/drawing/2014/main" id="{00000000-0008-0000-0300-000005000000}"/>
              </a:ext>
            </a:extLst>
          </xdr:cNvPr>
          <xdr:cNvGrpSpPr/>
        </xdr:nvGrpSpPr>
        <xdr:grpSpPr>
          <a:xfrm>
            <a:off x="17213395" y="6012499"/>
            <a:ext cx="2123823" cy="951712"/>
            <a:chOff x="17323018" y="6155739"/>
            <a:chExt cx="2135516" cy="963406"/>
          </a:xfrm>
        </xdr:grpSpPr>
        <xdr:grpSp>
          <xdr:nvGrpSpPr>
            <xdr:cNvPr id="65" name="Group 64">
              <a:extLst>
                <a:ext uri="{FF2B5EF4-FFF2-40B4-BE49-F238E27FC236}">
                  <a16:creationId xmlns:a16="http://schemas.microsoft.com/office/drawing/2014/main" id="{00000000-0008-0000-0300-000041000000}"/>
                </a:ext>
              </a:extLst>
            </xdr:cNvPr>
            <xdr:cNvGrpSpPr/>
          </xdr:nvGrpSpPr>
          <xdr:grpSpPr>
            <a:xfrm>
              <a:off x="17323653" y="6740780"/>
              <a:ext cx="2134881" cy="378365"/>
              <a:chOff x="3676650" y="-285766"/>
              <a:chExt cx="2209800" cy="390526"/>
            </a:xfrm>
          </xdr:grpSpPr>
          <xdr:sp macro="" textlink="">
            <xdr:nvSpPr>
              <xdr:cNvPr id="66" name="Text Box 2">
                <a:extLst>
                  <a:ext uri="{FF2B5EF4-FFF2-40B4-BE49-F238E27FC236}">
                    <a16:creationId xmlns:a16="http://schemas.microsoft.com/office/drawing/2014/main" id="{00000000-0008-0000-0300-000042000000}"/>
                  </a:ext>
                </a:extLst>
              </xdr:cNvPr>
              <xdr:cNvSpPr txBox="1">
                <a:spLocks noChangeArrowheads="1"/>
              </xdr:cNvSpPr>
            </xdr:nvSpPr>
            <xdr:spPr bwMode="auto">
              <a:xfrm>
                <a:off x="4810125" y="-285765"/>
                <a:ext cx="1076325" cy="390525"/>
              </a:xfrm>
              <a:prstGeom prst="rect">
                <a:avLst/>
              </a:prstGeom>
              <a:solidFill>
                <a:srgbClr val="FFFFFF"/>
              </a:solidFill>
              <a:ln w="9525">
                <a:solidFill>
                  <a:srgbClr val="000000"/>
                </a:solidFill>
                <a:miter lim="800000"/>
                <a:headEnd/>
                <a:tailEnd/>
              </a:ln>
            </xdr:spPr>
            <xdr:txBody>
              <a:bodyPr rot="0" vert="horz" wrap="square" lIns="91440" tIns="45720" rIns="91440" bIns="45720" anchor="t" anchorCtr="0">
                <a:noAutofit/>
              </a:bodyPr>
              <a:lstStyle/>
              <a:p>
                <a:pPr algn="ctr">
                  <a:lnSpc>
                    <a:spcPct val="107000"/>
                  </a:lnSpc>
                  <a:spcAft>
                    <a:spcPts val="800"/>
                  </a:spcAft>
                </a:pPr>
                <a:r>
                  <a:rPr lang="en-US" sz="1000">
                    <a:effectLst/>
                    <a:latin typeface="Arial Narrow" panose="020B0606020202030204" pitchFamily="34" charset="0"/>
                    <a:ea typeface="Calibri" panose="020F0502020204030204" pitchFamily="34" charset="0"/>
                    <a:cs typeface="Times New Roman" panose="02020603050405020304" pitchFamily="18" charset="0"/>
                  </a:rPr>
                  <a:t>Financial Consultant</a:t>
                </a:r>
                <a:endParaRPr lang="en-MY"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67" name="Text Box 2">
                <a:extLst>
                  <a:ext uri="{FF2B5EF4-FFF2-40B4-BE49-F238E27FC236}">
                    <a16:creationId xmlns:a16="http://schemas.microsoft.com/office/drawing/2014/main" id="{00000000-0008-0000-0300-000043000000}"/>
                  </a:ext>
                </a:extLst>
              </xdr:cNvPr>
              <xdr:cNvSpPr txBox="1">
                <a:spLocks noChangeArrowheads="1"/>
              </xdr:cNvSpPr>
            </xdr:nvSpPr>
            <xdr:spPr bwMode="auto">
              <a:xfrm>
                <a:off x="3676650" y="-285766"/>
                <a:ext cx="1114424" cy="390526"/>
              </a:xfrm>
              <a:prstGeom prst="rect">
                <a:avLst/>
              </a:prstGeom>
              <a:solidFill>
                <a:srgbClr val="FFFFFF"/>
              </a:solidFill>
              <a:ln w="9525">
                <a:solidFill>
                  <a:srgbClr val="000000"/>
                </a:solidFill>
                <a:miter lim="800000"/>
                <a:headEnd/>
                <a:tailEnd/>
              </a:ln>
            </xdr:spPr>
            <xdr:txBody>
              <a:bodyPr rot="0" vert="horz" wrap="square" lIns="91440" tIns="45720" rIns="91440" bIns="45720" anchor="t" anchorCtr="0">
                <a:noAutofit/>
              </a:bodyPr>
              <a:lstStyle/>
              <a:p>
                <a:pPr algn="ctr">
                  <a:lnSpc>
                    <a:spcPct val="107000"/>
                  </a:lnSpc>
                  <a:spcAft>
                    <a:spcPts val="0"/>
                  </a:spcAft>
                </a:pPr>
                <a:r>
                  <a:rPr lang="en-US" sz="1000">
                    <a:effectLst/>
                    <a:latin typeface="Arial Narrow" panose="020B0606020202030204" pitchFamily="34" charset="0"/>
                    <a:ea typeface="Calibri" panose="020F0502020204030204" pitchFamily="34" charset="0"/>
                    <a:cs typeface="Times New Roman" panose="02020603050405020304" pitchFamily="18" charset="0"/>
                  </a:rPr>
                  <a:t>Calon Pemegang Polis</a:t>
                </a:r>
                <a:endParaRPr lang="en-MY"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 name="Group 67">
              <a:extLst>
                <a:ext uri="{FF2B5EF4-FFF2-40B4-BE49-F238E27FC236}">
                  <a16:creationId xmlns:a16="http://schemas.microsoft.com/office/drawing/2014/main" id="{00000000-0008-0000-0300-000044000000}"/>
                </a:ext>
              </a:extLst>
            </xdr:cNvPr>
            <xdr:cNvGrpSpPr/>
          </xdr:nvGrpSpPr>
          <xdr:grpSpPr>
            <a:xfrm>
              <a:off x="17323018" y="6155739"/>
              <a:ext cx="2134245" cy="566626"/>
              <a:chOff x="-571501" y="0"/>
              <a:chExt cx="2209166" cy="514349"/>
            </a:xfrm>
          </xdr:grpSpPr>
          <xdr:sp macro="" textlink="">
            <xdr:nvSpPr>
              <xdr:cNvPr id="69" name="Text Box 2">
                <a:extLst>
                  <a:ext uri="{FF2B5EF4-FFF2-40B4-BE49-F238E27FC236}">
                    <a16:creationId xmlns:a16="http://schemas.microsoft.com/office/drawing/2014/main" id="{00000000-0008-0000-0300-000045000000}"/>
                  </a:ext>
                </a:extLst>
              </xdr:cNvPr>
              <xdr:cNvSpPr txBox="1">
                <a:spLocks noChangeArrowheads="1"/>
              </xdr:cNvSpPr>
            </xdr:nvSpPr>
            <xdr:spPr bwMode="auto">
              <a:xfrm>
                <a:off x="-571501" y="0"/>
                <a:ext cx="1114425" cy="514349"/>
              </a:xfrm>
              <a:prstGeom prst="rect">
                <a:avLst/>
              </a:prstGeom>
              <a:solidFill>
                <a:srgbClr val="FFFFFF"/>
              </a:solidFill>
              <a:ln w="9525">
                <a:solidFill>
                  <a:srgbClr val="000000"/>
                </a:solidFill>
                <a:miter lim="800000"/>
                <a:headEnd/>
                <a:tailEnd/>
              </a:ln>
            </xdr:spPr>
            <xdr:txBody>
              <a:bodyPr rot="0" vert="horz" wrap="square" lIns="91440" tIns="45720" rIns="91440" bIns="45720" anchor="t" anchorCtr="0">
                <a:noAutofit/>
              </a:bodyPr>
              <a:lstStyle/>
              <a:p>
                <a:pPr>
                  <a:lnSpc>
                    <a:spcPct val="107000"/>
                  </a:lnSpc>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endParaRPr lang="en-MY"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70" name="Text Box 2">
                <a:extLst>
                  <a:ext uri="{FF2B5EF4-FFF2-40B4-BE49-F238E27FC236}">
                    <a16:creationId xmlns:a16="http://schemas.microsoft.com/office/drawing/2014/main" id="{00000000-0008-0000-0300-000046000000}"/>
                  </a:ext>
                </a:extLst>
              </xdr:cNvPr>
              <xdr:cNvSpPr txBox="1">
                <a:spLocks noChangeArrowheads="1"/>
              </xdr:cNvSpPr>
            </xdr:nvSpPr>
            <xdr:spPr bwMode="auto">
              <a:xfrm>
                <a:off x="561975" y="0"/>
                <a:ext cx="1075690" cy="514349"/>
              </a:xfrm>
              <a:prstGeom prst="rect">
                <a:avLst/>
              </a:prstGeom>
              <a:solidFill>
                <a:srgbClr val="FFFFFF"/>
              </a:solidFill>
              <a:ln w="9525">
                <a:solidFill>
                  <a:srgbClr val="000000"/>
                </a:solidFill>
                <a:miter lim="800000"/>
                <a:headEnd/>
                <a:tailEnd/>
              </a:ln>
            </xdr:spPr>
            <xdr:txBody>
              <a:bodyPr rot="0" vert="horz" wrap="square" lIns="91440" tIns="45720" rIns="91440" bIns="45720" anchor="t" anchorCtr="0">
                <a:noAutofit/>
              </a:bodyPr>
              <a:lstStyle/>
              <a:p>
                <a:pPr>
                  <a:lnSpc>
                    <a:spcPct val="107000"/>
                  </a:lnSpc>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endParaRPr lang="en-MY"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sp macro="" textlink="">
        <xdr:nvSpPr>
          <xdr:cNvPr id="71" name="Text Box 2">
            <a:extLst>
              <a:ext uri="{FF2B5EF4-FFF2-40B4-BE49-F238E27FC236}">
                <a16:creationId xmlns:a16="http://schemas.microsoft.com/office/drawing/2014/main" id="{00000000-0008-0000-0300-000047000000}"/>
              </a:ext>
            </a:extLst>
          </xdr:cNvPr>
          <xdr:cNvSpPr txBox="1">
            <a:spLocks noChangeArrowheads="1"/>
          </xdr:cNvSpPr>
        </xdr:nvSpPr>
        <xdr:spPr bwMode="auto">
          <a:xfrm>
            <a:off x="13096152" y="7744239"/>
            <a:ext cx="6261556" cy="1018205"/>
          </a:xfrm>
          <a:prstGeom prst="rect">
            <a:avLst/>
          </a:prstGeom>
          <a:solidFill>
            <a:srgbClr val="FFFFFF"/>
          </a:solidFill>
          <a:ln w="9525">
            <a:solidFill>
              <a:srgbClr val="000000"/>
            </a:solidFill>
            <a:miter lim="800000"/>
            <a:headEnd/>
            <a:tailEnd/>
          </a:ln>
        </xdr:spPr>
        <xdr:txBody>
          <a:bodyPr rot="0" vert="horz" wrap="square" lIns="91440" tIns="45720" rIns="91440" bIns="45720" anchor="t" anchorCtr="0">
            <a:noAutofit/>
          </a:bodyPr>
          <a:lstStyle/>
          <a:p>
            <a:pPr algn="just">
              <a:lnSpc>
                <a:spcPct val="107000"/>
              </a:lnSpc>
              <a:spcAft>
                <a:spcPts val="800"/>
              </a:spcAft>
            </a:pPr>
            <a:r>
              <a:rPr lang="en-US" sz="1000" b="1">
                <a:effectLst/>
                <a:latin typeface="Arial Narrow" panose="020B0606020202030204" pitchFamily="34" charset="0"/>
                <a:ea typeface="Calibri" panose="020F0502020204030204" pitchFamily="34" charset="0"/>
                <a:cs typeface="Times New Roman" panose="02020603050405020304" pitchFamily="18" charset="0"/>
              </a:rPr>
              <a:t>PT Tokio Marine Life Insurance Indonesia telah terdaftar dan diawasi oleh Otoritas Jasa Keuangan (OJK).</a:t>
            </a:r>
            <a:endParaRPr lang="en-MY" sz="1100">
              <a:effectLst/>
              <a:latin typeface="Calibri" panose="020F0502020204030204" pitchFamily="34" charset="0"/>
              <a:ea typeface="Calibri" panose="020F0502020204030204" pitchFamily="34" charset="0"/>
              <a:cs typeface="Times New Roman" panose="02020603050405020304" pitchFamily="18" charset="0"/>
            </a:endParaRPr>
          </a:p>
          <a:p>
            <a:pPr algn="just">
              <a:lnSpc>
                <a:spcPct val="107000"/>
              </a:lnSpc>
              <a:spcAft>
                <a:spcPts val="800"/>
              </a:spcAft>
            </a:pPr>
            <a:r>
              <a:rPr lang="en-US" sz="1000" b="1">
                <a:effectLst/>
                <a:latin typeface="Arial Narrow" panose="020B0606020202030204" pitchFamily="34" charset="0"/>
                <a:ea typeface="Calibri" panose="020F0502020204030204" pitchFamily="34" charset="0"/>
                <a:cs typeface="Times New Roman" panose="02020603050405020304" pitchFamily="18" charset="0"/>
              </a:rPr>
              <a:t>Apabila ada pertanyaan dan keluhan terkait dengan produk dan/atau layanan kami, silahkan menyampaikan pertanyaan dan keluhan Anda kepada kami.</a:t>
            </a:r>
            <a:r>
              <a:rPr lang="en-US" sz="1000" b="1" u="sng">
                <a:solidFill>
                  <a:srgbClr val="008080"/>
                </a:solidFill>
                <a:effectLst/>
                <a:latin typeface="Arial Narrow" panose="020B0606020202030204" pitchFamily="34" charset="0"/>
                <a:ea typeface="Calibri" panose="020F0502020204030204" pitchFamily="34" charset="0"/>
                <a:cs typeface="Times New Roman" panose="02020603050405020304" pitchFamily="18" charset="0"/>
              </a:rPr>
              <a:t> </a:t>
            </a:r>
            <a:r>
              <a:rPr lang="en-US" sz="1000" b="1">
                <a:effectLst/>
                <a:latin typeface="Arial Narrow" panose="020B0606020202030204" pitchFamily="34" charset="0"/>
                <a:ea typeface="Calibri" panose="020F0502020204030204" pitchFamily="34" charset="0"/>
                <a:cs typeface="Times New Roman" panose="02020603050405020304" pitchFamily="18" charset="0"/>
              </a:rPr>
              <a:t>Untuk informasi lebih lanjut mengenai prosedur penanganan keluhan nasabah, silahkan mengunjungi website kami di www.tokiomarine.com</a:t>
            </a:r>
            <a:endParaRPr lang="en-MY"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oneCell">
    <xdr:from>
      <xdr:col>7</xdr:col>
      <xdr:colOff>316041</xdr:colOff>
      <xdr:row>0</xdr:row>
      <xdr:rowOff>0</xdr:rowOff>
    </xdr:from>
    <xdr:to>
      <xdr:col>10</xdr:col>
      <xdr:colOff>2330</xdr:colOff>
      <xdr:row>2</xdr:row>
      <xdr:rowOff>111252</xdr:rowOff>
    </xdr:to>
    <xdr:pic>
      <xdr:nvPicPr>
        <xdr:cNvPr id="24" name="Picture 23">
          <a:extLst>
            <a:ext uri="{FF2B5EF4-FFF2-40B4-BE49-F238E27FC236}">
              <a16:creationId xmlns:a16="http://schemas.microsoft.com/office/drawing/2014/main" id="{00000000-0008-0000-0300-00001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02695" y="0"/>
          <a:ext cx="1630520" cy="536214"/>
        </a:xfrm>
        <a:prstGeom prst="rect">
          <a:avLst/>
        </a:prstGeom>
      </xdr:spPr>
    </xdr:pic>
    <xdr:clientData/>
  </xdr:twoCellAnchor>
  <xdr:twoCellAnchor editAs="oneCell">
    <xdr:from>
      <xdr:col>7</xdr:col>
      <xdr:colOff>326433</xdr:colOff>
      <xdr:row>54</xdr:row>
      <xdr:rowOff>17832</xdr:rowOff>
    </xdr:from>
    <xdr:to>
      <xdr:col>10</xdr:col>
      <xdr:colOff>3197</xdr:colOff>
      <xdr:row>56</xdr:row>
      <xdr:rowOff>125505</xdr:rowOff>
    </xdr:to>
    <xdr:pic>
      <xdr:nvPicPr>
        <xdr:cNvPr id="25" name="Picture 24">
          <a:extLst>
            <a:ext uri="{FF2B5EF4-FFF2-40B4-BE49-F238E27FC236}">
              <a16:creationId xmlns:a16="http://schemas.microsoft.com/office/drawing/2014/main" id="{00000000-0008-0000-0300-000019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84668" y="10282420"/>
          <a:ext cx="1514529" cy="533498"/>
        </a:xfrm>
        <a:prstGeom prst="rect">
          <a:avLst/>
        </a:prstGeom>
      </xdr:spPr>
    </xdr:pic>
    <xdr:clientData/>
  </xdr:twoCellAnchor>
  <xdr:twoCellAnchor editAs="oneCell">
    <xdr:from>
      <xdr:col>0</xdr:col>
      <xdr:colOff>0</xdr:colOff>
      <xdr:row>49</xdr:row>
      <xdr:rowOff>53005</xdr:rowOff>
    </xdr:from>
    <xdr:to>
      <xdr:col>8</xdr:col>
      <xdr:colOff>542909</xdr:colOff>
      <xdr:row>52</xdr:row>
      <xdr:rowOff>62757</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10317593"/>
          <a:ext cx="5395056" cy="648488"/>
          <a:chOff x="0" y="9239249"/>
          <a:chExt cx="5387212" cy="671359"/>
        </a:xfrm>
      </xdr:grpSpPr>
      <xdr:sp macro="" textlink="Footer">
        <xdr:nvSpPr>
          <xdr:cNvPr id="27" name="TextBox 26">
            <a:extLst>
              <a:ext uri="{FF2B5EF4-FFF2-40B4-BE49-F238E27FC236}">
                <a16:creationId xmlns:a16="http://schemas.microsoft.com/office/drawing/2014/main" id="{00000000-0008-0000-0300-00001B000000}"/>
              </a:ext>
            </a:extLst>
          </xdr:cNvPr>
          <xdr:cNvSpPr txBox="1"/>
        </xdr:nvSpPr>
        <xdr:spPr>
          <a:xfrm>
            <a:off x="0" y="9239249"/>
            <a:ext cx="3001911" cy="659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AE16063-84D3-45FD-AB47-CF7BD519BAA4}" type="TxLink">
              <a:rPr lang="en-US" sz="900" b="0" i="0" u="none" strike="noStrike">
                <a:solidFill>
                  <a:srgbClr val="000000"/>
                </a:solidFill>
                <a:latin typeface="Arial Narrow" panose="020B0606020202030204" pitchFamily="34" charset="0"/>
              </a:rPr>
              <a:pPr/>
              <a:t>Nama/Kode Financial Consultant	: Tokio Marine
Nama Kantor Pemasaran	: 12345678
Tanggal		: 13 Oktober 2018</a:t>
            </a:fld>
            <a:endParaRPr lang="en-GB" sz="600">
              <a:latin typeface="Arial Narrow" panose="020B0606020202030204" pitchFamily="34" charset="0"/>
            </a:endParaRPr>
          </a:p>
        </xdr:txBody>
      </xdr:sp>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2990850" y="9248774"/>
            <a:ext cx="2396362" cy="6618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900" b="0" i="0" u="none" strike="noStrike">
                <a:solidFill>
                  <a:srgbClr val="000000"/>
                </a:solidFill>
                <a:latin typeface="Arial Narrow"/>
              </a:rPr>
              <a:t>Versi	: 1.0
Legal Number	: </a:t>
            </a:r>
            <a:r>
              <a:rPr lang="en-US" sz="900">
                <a:solidFill>
                  <a:schemeClr val="tx1"/>
                </a:solidFill>
                <a:effectLst/>
                <a:latin typeface="Arial Narrow" panose="020B0606020202030204" pitchFamily="34" charset="0"/>
                <a:ea typeface="+mn-ea"/>
                <a:cs typeface="+mn-cs"/>
              </a:rPr>
              <a:t>TMLI-LC/PD/v/POLDOC/8/18</a:t>
            </a:r>
            <a:endParaRPr lang="en-US" sz="900" b="0" i="0" u="none" strike="noStrike">
              <a:solidFill>
                <a:srgbClr val="000000"/>
              </a:solidFill>
              <a:latin typeface="Arial Narrow" panose="020B0606020202030204" pitchFamily="34" charset="0"/>
            </a:endParaRPr>
          </a:p>
        </xdr:txBody>
      </xdr:sp>
    </xdr:grpSp>
    <xdr:clientData/>
  </xdr:twoCellAnchor>
  <xdr:twoCellAnchor editAs="oneCell">
    <xdr:from>
      <xdr:col>0</xdr:col>
      <xdr:colOff>0</xdr:colOff>
      <xdr:row>101</xdr:row>
      <xdr:rowOff>57271</xdr:rowOff>
    </xdr:from>
    <xdr:to>
      <xdr:col>8</xdr:col>
      <xdr:colOff>542909</xdr:colOff>
      <xdr:row>104</xdr:row>
      <xdr:rowOff>107575</xdr:rowOff>
    </xdr:to>
    <xdr:grpSp>
      <xdr:nvGrpSpPr>
        <xdr:cNvPr id="41" name="Group 40">
          <a:extLst>
            <a:ext uri="{FF2B5EF4-FFF2-40B4-BE49-F238E27FC236}">
              <a16:creationId xmlns:a16="http://schemas.microsoft.com/office/drawing/2014/main" id="{00000000-0008-0000-0300-000029000000}"/>
            </a:ext>
          </a:extLst>
        </xdr:cNvPr>
        <xdr:cNvGrpSpPr/>
      </xdr:nvGrpSpPr>
      <xdr:grpSpPr>
        <a:xfrm>
          <a:off x="0" y="21169153"/>
          <a:ext cx="5395056" cy="689040"/>
          <a:chOff x="0" y="9239249"/>
          <a:chExt cx="5387212" cy="740183"/>
        </a:xfrm>
      </xdr:grpSpPr>
      <xdr:sp macro="" textlink="Footer">
        <xdr:nvSpPr>
          <xdr:cNvPr id="42" name="TextBox 41">
            <a:extLst>
              <a:ext uri="{FF2B5EF4-FFF2-40B4-BE49-F238E27FC236}">
                <a16:creationId xmlns:a16="http://schemas.microsoft.com/office/drawing/2014/main" id="{00000000-0008-0000-0300-00002A000000}"/>
              </a:ext>
            </a:extLst>
          </xdr:cNvPr>
          <xdr:cNvSpPr txBox="1"/>
        </xdr:nvSpPr>
        <xdr:spPr>
          <a:xfrm>
            <a:off x="0" y="9239249"/>
            <a:ext cx="3083782" cy="659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AE16063-84D3-45FD-AB47-CF7BD519BAA4}" type="TxLink">
              <a:rPr lang="en-US" sz="900" b="0" i="0" u="none" strike="noStrike">
                <a:solidFill>
                  <a:srgbClr val="000000"/>
                </a:solidFill>
                <a:latin typeface="Arial Narrow" panose="020B0606020202030204" pitchFamily="34" charset="0"/>
              </a:rPr>
              <a:pPr/>
              <a:t>Nama/Kode Financial Consultant	: Tokio Marine
Nama Kantor Pemasaran	: 12345678
Tanggal		: 13 Oktober 2018</a:t>
            </a:fld>
            <a:endParaRPr lang="en-GB" sz="600">
              <a:latin typeface="Arial Narrow" panose="020B0606020202030204" pitchFamily="34" charset="0"/>
            </a:endParaRPr>
          </a:p>
        </xdr:txBody>
      </xdr:sp>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2990850" y="9248775"/>
            <a:ext cx="2396362" cy="7306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900" b="0" i="0" u="none" strike="noStrike">
                <a:solidFill>
                  <a:srgbClr val="000000"/>
                </a:solidFill>
                <a:latin typeface="Arial Narrow"/>
              </a:rPr>
              <a:t>Versi	: 1.0
Legal Number	: </a:t>
            </a:r>
            <a:r>
              <a:rPr lang="en-US" sz="900">
                <a:solidFill>
                  <a:schemeClr val="tx1"/>
                </a:solidFill>
                <a:effectLst/>
                <a:latin typeface="Arial Narrow" panose="020B0606020202030204" pitchFamily="34" charset="0"/>
                <a:ea typeface="+mn-ea"/>
                <a:cs typeface="+mn-cs"/>
              </a:rPr>
              <a:t>TMLI-LC/PD/v/POLDOC/8/18</a:t>
            </a:r>
            <a:endParaRPr lang="en-US" sz="900" b="0" i="0" u="none" strike="noStrike">
              <a:solidFill>
                <a:srgbClr val="000000"/>
              </a:solidFill>
              <a:latin typeface="Arial Narrow" panose="020B0606020202030204" pitchFamily="34" charset="0"/>
            </a:endParaRPr>
          </a:p>
        </xdr:txBody>
      </xdr:sp>
    </xdr:grpSp>
    <xdr:clientData/>
  </xdr:twoCellAnchor>
  <xdr:oneCellAnchor>
    <xdr:from>
      <xdr:col>0</xdr:col>
      <xdr:colOff>1</xdr:colOff>
      <xdr:row>71</xdr:row>
      <xdr:rowOff>180974</xdr:rowOff>
    </xdr:from>
    <xdr:ext cx="6084794" cy="1095375"/>
    <xdr:sp macro="" textlink="">
      <xdr:nvSpPr>
        <xdr:cNvPr id="51" name="Rectangle 50">
          <a:extLst>
            <a:ext uri="{FF2B5EF4-FFF2-40B4-BE49-F238E27FC236}">
              <a16:creationId xmlns:a16="http://schemas.microsoft.com/office/drawing/2014/main" id="{00000000-0008-0000-0300-000033000000}"/>
            </a:ext>
          </a:extLst>
        </xdr:cNvPr>
        <xdr:cNvSpPr/>
      </xdr:nvSpPr>
      <xdr:spPr>
        <a:xfrm>
          <a:off x="1" y="14009033"/>
          <a:ext cx="6084794" cy="10953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marL="171450" indent="-171450" algn="just">
            <a:buClr>
              <a:schemeClr val="bg1"/>
            </a:buClr>
            <a:buFont typeface="Arial" panose="020B0604020202020204" pitchFamily="34" charset="0"/>
            <a:buChar char="•"/>
          </a:pPr>
          <a:r>
            <a:rPr lang="en-MY" sz="1000">
              <a:solidFill>
                <a:sysClr val="windowText" lastClr="000000"/>
              </a:solidFill>
              <a:effectLst/>
              <a:latin typeface="Arial Narrow" panose="020B0606020202030204" pitchFamily="34" charset="0"/>
              <a:ea typeface="+mn-ea"/>
              <a:cs typeface="+mn-cs"/>
            </a:rPr>
            <a:t>Dihitung dari Nilai Investasi periode berjalan dan akan dibayarkan berdasarkan jadwal pembayaran kupon atas </a:t>
          </a:r>
          <a:r>
            <a:rPr lang="en-MY" sz="1000" i="1">
              <a:solidFill>
                <a:sysClr val="windowText" lastClr="000000"/>
              </a:solidFill>
              <a:effectLst/>
              <a:latin typeface="Arial Narrow" panose="020B0606020202030204" pitchFamily="34" charset="0"/>
              <a:ea typeface="+mn-ea"/>
              <a:cs typeface="+mn-cs"/>
            </a:rPr>
            <a:t>underlying asset</a:t>
          </a:r>
          <a:r>
            <a:rPr lang="en-MY" sz="1000">
              <a:solidFill>
                <a:sysClr val="windowText" lastClr="000000"/>
              </a:solidFill>
              <a:effectLst/>
              <a:latin typeface="Arial Narrow" panose="020B0606020202030204" pitchFamily="34" charset="0"/>
              <a:ea typeface="+mn-ea"/>
              <a:cs typeface="+mn-cs"/>
            </a:rPr>
            <a:t> (obligasi sesuai jadwal yang tercantum di Ringkasan Polis. Proyeksi hasil investasi sudah Memperhitungkan Biaya Asuransi,  Biaya Pemeliharaan Polis, dan Biaya Pengelolaan Investasi.</a:t>
          </a:r>
        </a:p>
        <a:p>
          <a:pPr marL="171450" indent="-171450" algn="just">
            <a:buClr>
              <a:schemeClr val="bg1"/>
            </a:buClr>
            <a:buFont typeface="Arial" panose="020B0604020202020204" pitchFamily="34" charset="0"/>
            <a:buChar char="•"/>
          </a:pPr>
          <a:r>
            <a:rPr lang="en-MY" sz="1000">
              <a:solidFill>
                <a:sysClr val="windowText" lastClr="000000"/>
              </a:solidFill>
              <a:effectLst/>
              <a:latin typeface="Arial Narrow" panose="020B0606020202030204" pitchFamily="34" charset="0"/>
              <a:ea typeface="+mn-ea"/>
              <a:cs typeface="+mn-cs"/>
            </a:rPr>
            <a:t>Asumsi Nilai Investasi yang diperoleh hanya bertujuan untuk ilustrasi saja dan bukan merupakan acuan untuk perhitungan tetap Nilai Investasi di waktu yang akan datang.</a:t>
          </a:r>
        </a:p>
      </xdr:txBody>
    </xdr:sp>
    <xdr:clientData/>
  </xdr:oneCellAnchor>
  <xdr:twoCellAnchor editAs="oneCell">
    <xdr:from>
      <xdr:col>7</xdr:col>
      <xdr:colOff>319709</xdr:colOff>
      <xdr:row>165</xdr:row>
      <xdr:rowOff>17832</xdr:rowOff>
    </xdr:from>
    <xdr:to>
      <xdr:col>10</xdr:col>
      <xdr:colOff>11200</xdr:colOff>
      <xdr:row>167</xdr:row>
      <xdr:rowOff>125509</xdr:rowOff>
    </xdr:to>
    <xdr:pic>
      <xdr:nvPicPr>
        <xdr:cNvPr id="55" name="Picture 54">
          <a:extLst>
            <a:ext uri="{FF2B5EF4-FFF2-40B4-BE49-F238E27FC236}">
              <a16:creationId xmlns:a16="http://schemas.microsoft.com/office/drawing/2014/main" id="{00000000-0008-0000-0300-000037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14121" y="30284920"/>
          <a:ext cx="1628783" cy="533501"/>
        </a:xfrm>
        <a:prstGeom prst="rect">
          <a:avLst/>
        </a:prstGeom>
      </xdr:spPr>
    </xdr:pic>
    <xdr:clientData/>
  </xdr:twoCellAnchor>
  <xdr:oneCellAnchor>
    <xdr:from>
      <xdr:col>0</xdr:col>
      <xdr:colOff>77882</xdr:colOff>
      <xdr:row>224</xdr:row>
      <xdr:rowOff>3585</xdr:rowOff>
    </xdr:from>
    <xdr:ext cx="6466353" cy="3771225"/>
    <xdr:sp macro="" textlink="">
      <xdr:nvSpPr>
        <xdr:cNvPr id="56" name="Rectangle 55">
          <a:extLst>
            <a:ext uri="{FF2B5EF4-FFF2-40B4-BE49-F238E27FC236}">
              <a16:creationId xmlns:a16="http://schemas.microsoft.com/office/drawing/2014/main" id="{00000000-0008-0000-0300-000038000000}"/>
            </a:ext>
          </a:extLst>
        </xdr:cNvPr>
        <xdr:cNvSpPr/>
      </xdr:nvSpPr>
      <xdr:spPr>
        <a:xfrm>
          <a:off x="77882" y="36194103"/>
          <a:ext cx="6466353" cy="3771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marL="228600" indent="-228600" algn="just">
            <a:buClrTx/>
            <a:buFont typeface="+mj-lt"/>
            <a:buAutoNum type="arabicPeriod"/>
          </a:pPr>
          <a:r>
            <a:rPr lang="en-MY" sz="1000">
              <a:solidFill>
                <a:sysClr val="windowText" lastClr="000000"/>
              </a:solidFill>
              <a:effectLst/>
              <a:latin typeface="Arial Narrow" panose="020B0606020202030204" pitchFamily="34" charset="0"/>
              <a:ea typeface="+mn-ea"/>
              <a:cs typeface="+mn-cs"/>
            </a:rPr>
            <a:t>Saya sudah membaca dan mengerti ilustrasi yang disampaikan dan telah mendapat penjelasan secara baik, lengkap dan jelas mengenai produk asuransi ini berikut Ringkasan Manfaat, risiko, batasan dan / atau pengecualian dan biaya-biaya yang dikenakan.</a:t>
          </a:r>
        </a:p>
        <a:p>
          <a:pPr marL="228600" indent="-228600" algn="just">
            <a:buClrTx/>
            <a:buFont typeface="+mj-lt"/>
            <a:buAutoNum type="arabicPeriod"/>
          </a:pPr>
          <a:endParaRPr lang="en-MY" sz="1000">
            <a:solidFill>
              <a:sysClr val="windowText" lastClr="000000"/>
            </a:solidFill>
            <a:effectLst/>
            <a:latin typeface="Arial Narrow" panose="020B0606020202030204" pitchFamily="34" charset="0"/>
            <a:ea typeface="+mn-ea"/>
            <a:cs typeface="+mn-cs"/>
          </a:endParaRPr>
        </a:p>
        <a:p>
          <a:pPr marL="228600" indent="-228600" algn="just">
            <a:buClrTx/>
            <a:buFont typeface="+mj-lt"/>
            <a:buAutoNum type="arabicPeriod"/>
          </a:pPr>
          <a:r>
            <a:rPr lang="en-MY" sz="1000">
              <a:solidFill>
                <a:sysClr val="windowText" lastClr="000000"/>
              </a:solidFill>
              <a:effectLst/>
              <a:latin typeface="Arial Narrow" panose="020B0606020202030204" pitchFamily="34" charset="0"/>
              <a:ea typeface="+mn-ea"/>
              <a:cs typeface="+mn-cs"/>
            </a:rPr>
            <a:t>Saya mengerti ilustrasi ini bukan Polis sehingga ketentuan lengkap mengenai produk asuransi berikut Manfaat Asuransi, risiko, batasan dan / atau pengecualian akan selalu mengacu pada Polis.</a:t>
          </a:r>
        </a:p>
        <a:p>
          <a:pPr marL="228600" indent="-228600" algn="just">
            <a:buClrTx/>
            <a:buFont typeface="+mj-lt"/>
            <a:buAutoNum type="arabicPeriod"/>
          </a:pPr>
          <a:endParaRPr lang="en-MY" sz="1000">
            <a:solidFill>
              <a:sysClr val="windowText" lastClr="000000"/>
            </a:solidFill>
            <a:effectLst/>
            <a:latin typeface="Arial Narrow" panose="020B0606020202030204" pitchFamily="34" charset="0"/>
            <a:ea typeface="+mn-ea"/>
            <a:cs typeface="+mn-cs"/>
          </a:endParaRPr>
        </a:p>
        <a:p>
          <a:pPr marL="228600" indent="-228600" algn="just">
            <a:buClrTx/>
            <a:buFont typeface="+mj-lt"/>
            <a:buAutoNum type="arabicPeriod"/>
          </a:pPr>
          <a:r>
            <a:rPr lang="en-MY" sz="1000">
              <a:solidFill>
                <a:sysClr val="windowText" lastClr="000000"/>
              </a:solidFill>
              <a:effectLst/>
              <a:latin typeface="Arial Narrow" panose="020B0606020202030204" pitchFamily="34" charset="0"/>
              <a:ea typeface="+mn-ea"/>
              <a:cs typeface="+mn-cs"/>
            </a:rPr>
            <a:t>Saya mengerti bahwa Nilai Investasi yang ada di dalam ilustrasi hanya merupakan ilustrasi dan bukan merupakan jaminan Nilai Investasi untuk masa mendatang.</a:t>
          </a:r>
        </a:p>
        <a:p>
          <a:pPr marL="228600" indent="-228600" algn="just">
            <a:buClrTx/>
            <a:buFont typeface="+mj-lt"/>
            <a:buAutoNum type="arabicPeriod"/>
          </a:pPr>
          <a:endParaRPr lang="en-MY" sz="1000">
            <a:solidFill>
              <a:sysClr val="windowText" lastClr="000000"/>
            </a:solidFill>
            <a:effectLst/>
            <a:latin typeface="Arial Narrow" panose="020B0606020202030204" pitchFamily="34" charset="0"/>
            <a:ea typeface="+mn-ea"/>
            <a:cs typeface="+mn-cs"/>
          </a:endParaRPr>
        </a:p>
        <a:p>
          <a:pPr marL="228600" indent="-228600" algn="just">
            <a:buClrTx/>
            <a:buFont typeface="+mj-lt"/>
            <a:buAutoNum type="arabicPeriod"/>
          </a:pPr>
          <a:r>
            <a:rPr lang="en-MY" sz="1000">
              <a:solidFill>
                <a:sysClr val="windowText" lastClr="000000"/>
              </a:solidFill>
              <a:effectLst/>
              <a:latin typeface="Arial Narrow" panose="020B0606020202030204" pitchFamily="34" charset="0"/>
              <a:ea typeface="+mn-ea"/>
              <a:cs typeface="+mn-cs"/>
            </a:rPr>
            <a:t>Saya mengerti bahwa besarnya Nilai Investasi yang akan dibayarkan akan sangat tergantung pada perkembangan Nilai Investasi yang dapat berubah sewaktu-waktu.</a:t>
          </a:r>
        </a:p>
        <a:p>
          <a:pPr marL="228600" indent="-228600" algn="just">
            <a:buClrTx/>
            <a:buFont typeface="+mj-lt"/>
            <a:buAutoNum type="arabicPeriod"/>
          </a:pPr>
          <a:endParaRPr lang="en-MY" sz="1000">
            <a:solidFill>
              <a:sysClr val="windowText" lastClr="000000"/>
            </a:solidFill>
            <a:effectLst/>
            <a:latin typeface="Arial Narrow" panose="020B0606020202030204" pitchFamily="34" charset="0"/>
            <a:ea typeface="+mn-ea"/>
            <a:cs typeface="+mn-cs"/>
          </a:endParaRPr>
        </a:p>
        <a:p>
          <a:pPr marL="228600" indent="-228600" algn="just">
            <a:buClrTx/>
            <a:buFont typeface="+mj-lt"/>
            <a:buAutoNum type="arabicPeriod"/>
          </a:pPr>
          <a:r>
            <a:rPr lang="en-MY" sz="1000">
              <a:solidFill>
                <a:sysClr val="windowText" lastClr="000000"/>
              </a:solidFill>
              <a:effectLst/>
              <a:latin typeface="Arial Narrow" panose="020B0606020202030204" pitchFamily="34" charset="0"/>
              <a:ea typeface="+mn-ea"/>
              <a:cs typeface="+mn-cs"/>
            </a:rPr>
            <a:t>Saya mengerti dan menyetujui bahwa biaya-biaya yang dikenakan dalam perhitungan sebagaimana digambarkan dalam ilustrasi ini adalah biaya-biaya yang berlaku pada saat diterbitkannya ilustrasi ini dan dapat berubah setiap saat sesuai dengan kebijakan Perusahaan/Penanggung.</a:t>
          </a:r>
        </a:p>
        <a:p>
          <a:pPr marL="228600" indent="-228600" algn="just">
            <a:buClrTx/>
            <a:buFont typeface="+mj-lt"/>
            <a:buAutoNum type="arabicPeriod"/>
          </a:pPr>
          <a:endParaRPr lang="en-MY" sz="1000">
            <a:solidFill>
              <a:sysClr val="windowText" lastClr="000000"/>
            </a:solidFill>
            <a:effectLst/>
            <a:latin typeface="Arial Narrow" panose="020B0606020202030204" pitchFamily="34" charset="0"/>
            <a:ea typeface="+mn-ea"/>
            <a:cs typeface="+mn-cs"/>
          </a:endParaRPr>
        </a:p>
        <a:p>
          <a:pPr marL="228600" indent="-228600" algn="just">
            <a:buClrTx/>
            <a:buFont typeface="+mj-lt"/>
            <a:buAutoNum type="arabicPeriod"/>
          </a:pPr>
          <a:r>
            <a:rPr lang="en-MY" sz="1000">
              <a:solidFill>
                <a:sysClr val="windowText" lastClr="000000"/>
              </a:solidFill>
              <a:effectLst/>
              <a:latin typeface="Arial Narrow" panose="020B0606020202030204" pitchFamily="34" charset="0"/>
              <a:ea typeface="+mn-ea"/>
              <a:cs typeface="+mn-cs"/>
            </a:rPr>
            <a:t>Saya memutuskan untuk membeli produk asuransi yang ditawarkan tanpa ada paksaan dari pihak manapun dan bersedia untuk memenuhi kewajiban yang timbul sebagaimana tercantum dalam Polis.</a:t>
          </a:r>
        </a:p>
        <a:p>
          <a:pPr marL="228600" indent="-228600" algn="just">
            <a:buClrTx/>
            <a:buFont typeface="+mj-lt"/>
            <a:buAutoNum type="arabicPeriod"/>
          </a:pPr>
          <a:endParaRPr lang="en-MY" sz="1000">
            <a:solidFill>
              <a:sysClr val="windowText" lastClr="000000"/>
            </a:solidFill>
            <a:effectLst/>
            <a:latin typeface="Arial Narrow" panose="020B0606020202030204" pitchFamily="34" charset="0"/>
            <a:ea typeface="+mn-ea"/>
            <a:cs typeface="+mn-cs"/>
          </a:endParaRPr>
        </a:p>
        <a:p>
          <a:pPr marL="228600" indent="-228600" algn="just">
            <a:buClrTx/>
            <a:buFont typeface="+mj-lt"/>
            <a:buAutoNum type="arabicPeriod"/>
          </a:pPr>
          <a:r>
            <a:rPr lang="en-MY" sz="1000">
              <a:solidFill>
                <a:sysClr val="windowText" lastClr="000000"/>
              </a:solidFill>
              <a:effectLst/>
              <a:latin typeface="Arial Narrow" panose="020B0606020202030204" pitchFamily="34" charset="0"/>
              <a:ea typeface="+mn-ea"/>
              <a:cs typeface="+mn-cs"/>
            </a:rPr>
            <a:t>Saya mengerti dan menyetujui bahwa apabila dalam proses penerbitan Polis terjadi perubahan perhitungan Usia, maka Polis akan diterbitkan dengan menggunakan perhitungan Usia yang berlaku di Perusahaan/Penanggung. Ilustrasi ini hanya berlaku untuk Usia yang tercantum di halaman 1 dan tidak berlaku jika ada perubahan Usia.</a:t>
          </a:r>
        </a:p>
        <a:p>
          <a:pPr marL="228600" indent="-228600" algn="just">
            <a:buClrTx/>
            <a:buFont typeface="+mj-lt"/>
            <a:buAutoNum type="arabicPeriod"/>
          </a:pPr>
          <a:endParaRPr lang="en-MY" sz="1000">
            <a:solidFill>
              <a:sysClr val="windowText" lastClr="000000"/>
            </a:solidFill>
            <a:effectLst/>
            <a:latin typeface="Arial Narrow" panose="020B0606020202030204" pitchFamily="34" charset="0"/>
            <a:ea typeface="+mn-ea"/>
            <a:cs typeface="+mn-cs"/>
          </a:endParaRPr>
        </a:p>
        <a:p>
          <a:pPr marL="228600" indent="-228600" algn="just">
            <a:buClrTx/>
            <a:buFont typeface="+mj-lt"/>
            <a:buAutoNum type="arabicPeriod"/>
          </a:pPr>
          <a:r>
            <a:rPr lang="en-MY" sz="1000">
              <a:solidFill>
                <a:sysClr val="windowText" lastClr="000000"/>
              </a:solidFill>
              <a:effectLst/>
              <a:latin typeface="Arial Narrow" panose="020B0606020202030204" pitchFamily="34" charset="0"/>
              <a:ea typeface="+mn-ea"/>
              <a:cs typeface="+mn-cs"/>
            </a:rPr>
            <a:t>Saya bersedia memberikan dokumen-dokumen sesuai yang disebutkan dalam Surat Pengajuan Asuransi Jiwa (SPAJ) serta dokumen lain yang relevan sesuai ketentuan Perusahaan/Penanggung.</a:t>
          </a:r>
          <a:endParaRPr lang="en-MY" sz="1000">
            <a:solidFill>
              <a:schemeClr val="tx1"/>
            </a:solidFill>
            <a:effectLst/>
            <a:latin typeface="Arial Narrow" panose="020B0606020202030204" pitchFamily="34" charset="0"/>
            <a:ea typeface="+mn-ea"/>
            <a:cs typeface="+mn-cs"/>
          </a:endParaRPr>
        </a:p>
      </xdr:txBody>
    </xdr:sp>
    <xdr:clientData/>
  </xdr:oneCellAnchor>
  <xdr:twoCellAnchor editAs="oneCell">
    <xdr:from>
      <xdr:col>7</xdr:col>
      <xdr:colOff>319707</xdr:colOff>
      <xdr:row>218</xdr:row>
      <xdr:rowOff>30258</xdr:rowOff>
    </xdr:from>
    <xdr:to>
      <xdr:col>10</xdr:col>
      <xdr:colOff>4518</xdr:colOff>
      <xdr:row>220</xdr:row>
      <xdr:rowOff>141509</xdr:rowOff>
    </xdr:to>
    <xdr:pic>
      <xdr:nvPicPr>
        <xdr:cNvPr id="60" name="Picture 59">
          <a:extLst>
            <a:ext uri="{FF2B5EF4-FFF2-40B4-BE49-F238E27FC236}">
              <a16:creationId xmlns:a16="http://schemas.microsoft.com/office/drawing/2014/main" id="{00000000-0008-0000-0300-00003C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02913" y="40371434"/>
          <a:ext cx="1641153" cy="537075"/>
        </a:xfrm>
        <a:prstGeom prst="rect">
          <a:avLst/>
        </a:prstGeom>
      </xdr:spPr>
    </xdr:pic>
    <xdr:clientData/>
  </xdr:twoCellAnchor>
  <xdr:twoCellAnchor editAs="oneCell">
    <xdr:from>
      <xdr:col>7</xdr:col>
      <xdr:colOff>326904</xdr:colOff>
      <xdr:row>105</xdr:row>
      <xdr:rowOff>23430</xdr:rowOff>
    </xdr:from>
    <xdr:to>
      <xdr:col>10</xdr:col>
      <xdr:colOff>8710</xdr:colOff>
      <xdr:row>107</xdr:row>
      <xdr:rowOff>134682</xdr:rowOff>
    </xdr:to>
    <xdr:pic>
      <xdr:nvPicPr>
        <xdr:cNvPr id="63" name="Picture 62">
          <a:extLst>
            <a:ext uri="{FF2B5EF4-FFF2-40B4-BE49-F238E27FC236}">
              <a16:creationId xmlns:a16="http://schemas.microsoft.com/office/drawing/2014/main" id="{00000000-0008-0000-0300-00003F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21316" y="20070754"/>
          <a:ext cx="1628623" cy="537075"/>
        </a:xfrm>
        <a:prstGeom prst="rect">
          <a:avLst/>
        </a:prstGeom>
      </xdr:spPr>
    </xdr:pic>
    <xdr:clientData/>
  </xdr:twoCellAnchor>
  <xdr:twoCellAnchor editAs="oneCell">
    <xdr:from>
      <xdr:col>0</xdr:col>
      <xdr:colOff>0</xdr:colOff>
      <xdr:row>161</xdr:row>
      <xdr:rowOff>70721</xdr:rowOff>
    </xdr:from>
    <xdr:to>
      <xdr:col>8</xdr:col>
      <xdr:colOff>542909</xdr:colOff>
      <xdr:row>164</xdr:row>
      <xdr:rowOff>56836</xdr:rowOff>
    </xdr:to>
    <xdr:grpSp>
      <xdr:nvGrpSpPr>
        <xdr:cNvPr id="52" name="Group 51">
          <a:extLst>
            <a:ext uri="{FF2B5EF4-FFF2-40B4-BE49-F238E27FC236}">
              <a16:creationId xmlns:a16="http://schemas.microsoft.com/office/drawing/2014/main" id="{00000000-0008-0000-0300-000034000000}"/>
            </a:ext>
          </a:extLst>
        </xdr:cNvPr>
        <xdr:cNvGrpSpPr/>
      </xdr:nvGrpSpPr>
      <xdr:grpSpPr>
        <a:xfrm>
          <a:off x="0" y="32186780"/>
          <a:ext cx="5395056" cy="624850"/>
          <a:chOff x="0" y="9239249"/>
          <a:chExt cx="5387212" cy="659404"/>
        </a:xfrm>
      </xdr:grpSpPr>
      <xdr:sp macro="" textlink="Footer">
        <xdr:nvSpPr>
          <xdr:cNvPr id="54" name="TextBox 53">
            <a:extLst>
              <a:ext uri="{FF2B5EF4-FFF2-40B4-BE49-F238E27FC236}">
                <a16:creationId xmlns:a16="http://schemas.microsoft.com/office/drawing/2014/main" id="{00000000-0008-0000-0300-000036000000}"/>
              </a:ext>
            </a:extLst>
          </xdr:cNvPr>
          <xdr:cNvSpPr txBox="1"/>
        </xdr:nvSpPr>
        <xdr:spPr>
          <a:xfrm>
            <a:off x="0" y="9239249"/>
            <a:ext cx="3083782" cy="659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AE16063-84D3-45FD-AB47-CF7BD519BAA4}" type="TxLink">
              <a:rPr lang="en-US" sz="900" b="0" i="0" u="none" strike="noStrike">
                <a:solidFill>
                  <a:srgbClr val="000000"/>
                </a:solidFill>
                <a:latin typeface="Arial Narrow" panose="020B0606020202030204" pitchFamily="34" charset="0"/>
              </a:rPr>
              <a:pPr/>
              <a:t>Nama/Kode Financial Consultant	: Tokio Marine
Nama Kantor Pemasaran	: 12345678
Tanggal		: 13 Oktober 2018</a:t>
            </a:fld>
            <a:endParaRPr lang="en-GB" sz="600">
              <a:latin typeface="Arial Narrow" panose="020B0606020202030204" pitchFamily="34" charset="0"/>
            </a:endParaRPr>
          </a:p>
        </xdr:txBody>
      </xdr:sp>
      <xdr:sp macro="" textlink="">
        <xdr:nvSpPr>
          <xdr:cNvPr id="61" name="TextBox 60">
            <a:extLst>
              <a:ext uri="{FF2B5EF4-FFF2-40B4-BE49-F238E27FC236}">
                <a16:creationId xmlns:a16="http://schemas.microsoft.com/office/drawing/2014/main" id="{00000000-0008-0000-0300-00003D000000}"/>
              </a:ext>
            </a:extLst>
          </xdr:cNvPr>
          <xdr:cNvSpPr txBox="1"/>
        </xdr:nvSpPr>
        <xdr:spPr>
          <a:xfrm>
            <a:off x="2990850" y="9248774"/>
            <a:ext cx="2396362" cy="5896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900" b="0" i="0" u="none" strike="noStrike">
                <a:solidFill>
                  <a:srgbClr val="000000"/>
                </a:solidFill>
                <a:latin typeface="Arial Narrow"/>
              </a:rPr>
              <a:t>Versi	: 1.0
Legal Number	: </a:t>
            </a:r>
            <a:r>
              <a:rPr lang="en-US" sz="900">
                <a:solidFill>
                  <a:schemeClr val="tx1"/>
                </a:solidFill>
                <a:effectLst/>
                <a:latin typeface="Arial Narrow" panose="020B0606020202030204" pitchFamily="34" charset="0"/>
                <a:ea typeface="+mn-ea"/>
                <a:cs typeface="+mn-cs"/>
              </a:rPr>
              <a:t>TMLI-LC/PD/v/POLDOC/8/18</a:t>
            </a:r>
            <a:endParaRPr lang="en-US" sz="900" b="0" i="0" u="none" strike="noStrike">
              <a:solidFill>
                <a:srgbClr val="000000"/>
              </a:solidFill>
              <a:latin typeface="Arial Narrow" panose="020B0606020202030204" pitchFamily="34" charset="0"/>
            </a:endParaRPr>
          </a:p>
        </xdr:txBody>
      </xdr:sp>
    </xdr:grpSp>
    <xdr:clientData/>
  </xdr:twoCellAnchor>
  <xdr:twoCellAnchor editAs="oneCell">
    <xdr:from>
      <xdr:col>0</xdr:col>
      <xdr:colOff>0</xdr:colOff>
      <xdr:row>213</xdr:row>
      <xdr:rowOff>48308</xdr:rowOff>
    </xdr:from>
    <xdr:to>
      <xdr:col>8</xdr:col>
      <xdr:colOff>542909</xdr:colOff>
      <xdr:row>216</xdr:row>
      <xdr:rowOff>35860</xdr:rowOff>
    </xdr:to>
    <xdr:grpSp>
      <xdr:nvGrpSpPr>
        <xdr:cNvPr id="74" name="Group 73">
          <a:extLst>
            <a:ext uri="{FF2B5EF4-FFF2-40B4-BE49-F238E27FC236}">
              <a16:creationId xmlns:a16="http://schemas.microsoft.com/office/drawing/2014/main" id="{00000000-0008-0000-0300-00004A000000}"/>
            </a:ext>
          </a:extLst>
        </xdr:cNvPr>
        <xdr:cNvGrpSpPr/>
      </xdr:nvGrpSpPr>
      <xdr:grpSpPr>
        <a:xfrm>
          <a:off x="0" y="43370249"/>
          <a:ext cx="5395056" cy="626287"/>
          <a:chOff x="0" y="9239250"/>
          <a:chExt cx="5387212" cy="664199"/>
        </a:xfrm>
      </xdr:grpSpPr>
      <xdr:sp macro="" textlink="Footer">
        <xdr:nvSpPr>
          <xdr:cNvPr id="75" name="TextBox 74">
            <a:extLst>
              <a:ext uri="{FF2B5EF4-FFF2-40B4-BE49-F238E27FC236}">
                <a16:creationId xmlns:a16="http://schemas.microsoft.com/office/drawing/2014/main" id="{00000000-0008-0000-0300-00004B000000}"/>
              </a:ext>
            </a:extLst>
          </xdr:cNvPr>
          <xdr:cNvSpPr txBox="1"/>
        </xdr:nvSpPr>
        <xdr:spPr>
          <a:xfrm>
            <a:off x="0" y="9239250"/>
            <a:ext cx="3083782" cy="644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AE16063-84D3-45FD-AB47-CF7BD519BAA4}" type="TxLink">
              <a:rPr lang="en-US" sz="900" b="0" i="0" u="none" strike="noStrike">
                <a:solidFill>
                  <a:srgbClr val="000000"/>
                </a:solidFill>
                <a:latin typeface="Arial Narrow" panose="020B0606020202030204" pitchFamily="34" charset="0"/>
              </a:rPr>
              <a:pPr/>
              <a:t>Nama/Kode Financial Consultant	: Tokio Marine
Nama Kantor Pemasaran	: 12345678
Tanggal		: 13 Oktober 2018</a:t>
            </a:fld>
            <a:endParaRPr lang="en-GB" sz="600">
              <a:latin typeface="Arial Narrow" panose="020B0606020202030204" pitchFamily="34" charset="0"/>
            </a:endParaRPr>
          </a:p>
        </xdr:txBody>
      </xdr:sp>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2990850" y="9248775"/>
            <a:ext cx="2396362" cy="6546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900" b="0" i="0" u="none" strike="noStrike">
                <a:solidFill>
                  <a:srgbClr val="000000"/>
                </a:solidFill>
                <a:latin typeface="Arial Narrow"/>
              </a:rPr>
              <a:t>Versi	: 1.0
Legal Number	: </a:t>
            </a:r>
            <a:r>
              <a:rPr lang="en-US" sz="900">
                <a:solidFill>
                  <a:schemeClr val="tx1"/>
                </a:solidFill>
                <a:effectLst/>
                <a:latin typeface="Arial Narrow" panose="020B0606020202030204" pitchFamily="34" charset="0"/>
                <a:ea typeface="+mn-ea"/>
                <a:cs typeface="+mn-cs"/>
              </a:rPr>
              <a:t>TMLI-LC/PD/v/POLDOC/8/18</a:t>
            </a:r>
            <a:endParaRPr lang="en-US" sz="900" b="0" i="0" u="none" strike="noStrike">
              <a:solidFill>
                <a:srgbClr val="000000"/>
              </a:solidFill>
              <a:latin typeface="Arial Narrow" panose="020B0606020202030204" pitchFamily="34" charset="0"/>
            </a:endParaRPr>
          </a:p>
        </xdr:txBody>
      </xdr:sp>
    </xdr:grpSp>
    <xdr:clientData/>
  </xdr:twoCellAnchor>
  <xdr:twoCellAnchor editAs="oneCell">
    <xdr:from>
      <xdr:col>0</xdr:col>
      <xdr:colOff>0</xdr:colOff>
      <xdr:row>267</xdr:row>
      <xdr:rowOff>46065</xdr:rowOff>
    </xdr:from>
    <xdr:to>
      <xdr:col>8</xdr:col>
      <xdr:colOff>542909</xdr:colOff>
      <xdr:row>270</xdr:row>
      <xdr:rowOff>32179</xdr:rowOff>
    </xdr:to>
    <xdr:grpSp>
      <xdr:nvGrpSpPr>
        <xdr:cNvPr id="77" name="Group 76">
          <a:extLst>
            <a:ext uri="{FF2B5EF4-FFF2-40B4-BE49-F238E27FC236}">
              <a16:creationId xmlns:a16="http://schemas.microsoft.com/office/drawing/2014/main" id="{00000000-0008-0000-0300-00004D000000}"/>
            </a:ext>
          </a:extLst>
        </xdr:cNvPr>
        <xdr:cNvGrpSpPr/>
      </xdr:nvGrpSpPr>
      <xdr:grpSpPr>
        <a:xfrm>
          <a:off x="0" y="54865241"/>
          <a:ext cx="5395056" cy="624850"/>
          <a:chOff x="0" y="9239249"/>
          <a:chExt cx="5387212" cy="659404"/>
        </a:xfrm>
      </xdr:grpSpPr>
      <xdr:sp macro="" textlink="Footer">
        <xdr:nvSpPr>
          <xdr:cNvPr id="78" name="TextBox 77">
            <a:extLst>
              <a:ext uri="{FF2B5EF4-FFF2-40B4-BE49-F238E27FC236}">
                <a16:creationId xmlns:a16="http://schemas.microsoft.com/office/drawing/2014/main" id="{00000000-0008-0000-0300-00004E000000}"/>
              </a:ext>
            </a:extLst>
          </xdr:cNvPr>
          <xdr:cNvSpPr txBox="1"/>
        </xdr:nvSpPr>
        <xdr:spPr>
          <a:xfrm>
            <a:off x="0" y="9239249"/>
            <a:ext cx="3083782" cy="659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AE16063-84D3-45FD-AB47-CF7BD519BAA4}" type="TxLink">
              <a:rPr lang="en-US" sz="900" b="0" i="0" u="none" strike="noStrike">
                <a:solidFill>
                  <a:srgbClr val="000000"/>
                </a:solidFill>
                <a:latin typeface="Arial Narrow" panose="020B0606020202030204" pitchFamily="34" charset="0"/>
              </a:rPr>
              <a:pPr/>
              <a:t>Nama/Kode Financial Consultant	: Tokio Marine
Nama Kantor Pemasaran	: 12345678
Tanggal		: 13 Oktober 2018</a:t>
            </a:fld>
            <a:endParaRPr lang="en-GB" sz="600">
              <a:latin typeface="Arial Narrow" panose="020B0606020202030204" pitchFamily="34" charset="0"/>
            </a:endParaRPr>
          </a:p>
        </xdr:txBody>
      </xdr:sp>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2990850" y="9248775"/>
            <a:ext cx="2396362" cy="620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900" b="0" i="0" u="none" strike="noStrike">
                <a:solidFill>
                  <a:srgbClr val="000000"/>
                </a:solidFill>
                <a:latin typeface="Arial Narrow"/>
              </a:rPr>
              <a:t>Versi	: 1.0
Legal Number	: </a:t>
            </a:r>
            <a:r>
              <a:rPr lang="en-US" sz="900">
                <a:solidFill>
                  <a:schemeClr val="tx1"/>
                </a:solidFill>
                <a:effectLst/>
                <a:latin typeface="Arial Narrow" panose="020B0606020202030204" pitchFamily="34" charset="0"/>
                <a:ea typeface="+mn-ea"/>
                <a:cs typeface="+mn-cs"/>
              </a:rPr>
              <a:t>TMLI-LC/PD/v/POLDOC/8/18</a:t>
            </a:r>
            <a:endParaRPr lang="en-US" sz="900" b="0" i="0" u="none" strike="noStrike">
              <a:solidFill>
                <a:srgbClr val="000000"/>
              </a:solidFill>
              <a:latin typeface="Arial Narrow" panose="020B0606020202030204" pitchFamily="34" charset="0"/>
            </a:endParaRPr>
          </a:p>
        </xdr:txBody>
      </xdr:sp>
    </xdr:grpSp>
    <xdr:clientData/>
  </xdr:twoCellAnchor>
</xdr:wsDr>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B2:M55"/>
  <sheetViews>
    <sheetView showGridLines="0" tabSelected="1" zoomScaleNormal="100" workbookViewId="0">
      <selection activeCell="I23" sqref="I23"/>
    </sheetView>
  </sheetViews>
  <sheetFormatPr baseColWidth="10" defaultColWidth="9.1640625" defaultRowHeight="15" x14ac:dyDescent="0.2"/>
  <cols>
    <col min="1" max="1" width="1.6640625" style="5" customWidth="1"/>
    <col min="2" max="2" width="25.83203125" style="5" customWidth="1"/>
    <col min="3" max="3" width="1.5" style="5" bestFit="1" customWidth="1"/>
    <col min="4" max="4" width="21.5" style="5" customWidth="1"/>
    <col min="5" max="6" width="9.1640625" style="5"/>
    <col min="7" max="7" width="9.83203125" style="5" bestFit="1" customWidth="1"/>
    <col min="8" max="9" width="9.1640625" style="5"/>
    <col min="10" max="10" width="10.5" style="5" bestFit="1" customWidth="1"/>
    <col min="11" max="12" width="9.1640625" style="5"/>
    <col min="13" max="13" width="9.5" style="5" bestFit="1" customWidth="1"/>
    <col min="14" max="16384" width="9.1640625" style="5"/>
  </cols>
  <sheetData>
    <row r="2" spans="2:13" x14ac:dyDescent="0.2">
      <c r="B2" s="4" t="s">
        <v>104</v>
      </c>
    </row>
    <row r="3" spans="2:13" x14ac:dyDescent="0.2">
      <c r="B3" s="4"/>
    </row>
    <row r="4" spans="2:13" x14ac:dyDescent="0.2">
      <c r="B4" s="4"/>
    </row>
    <row r="5" spans="2:13" x14ac:dyDescent="0.2">
      <c r="B5" s="4"/>
    </row>
    <row r="6" spans="2:13" x14ac:dyDescent="0.2">
      <c r="B6" s="4"/>
    </row>
    <row r="7" spans="2:13" x14ac:dyDescent="0.2">
      <c r="B7" s="4"/>
    </row>
    <row r="8" spans="2:13" x14ac:dyDescent="0.2">
      <c r="B8" s="4"/>
    </row>
    <row r="9" spans="2:13" x14ac:dyDescent="0.2">
      <c r="B9" s="4"/>
    </row>
    <row r="10" spans="2:13" x14ac:dyDescent="0.2">
      <c r="B10" s="4"/>
    </row>
    <row r="11" spans="2:13" x14ac:dyDescent="0.2">
      <c r="B11" s="6" t="s">
        <v>109</v>
      </c>
    </row>
    <row r="12" spans="2:13" x14ac:dyDescent="0.2">
      <c r="B12" s="72" t="s">
        <v>105</v>
      </c>
      <c r="C12" s="72"/>
      <c r="D12" s="72"/>
    </row>
    <row r="13" spans="2:13" x14ac:dyDescent="0.2">
      <c r="B13" s="71" t="s">
        <v>106</v>
      </c>
      <c r="C13" s="71"/>
      <c r="D13" s="71"/>
    </row>
    <row r="14" spans="2:13" x14ac:dyDescent="0.2">
      <c r="B14" s="7" t="s">
        <v>108</v>
      </c>
      <c r="C14" s="8"/>
      <c r="D14" s="8"/>
    </row>
    <row r="15" spans="2:13" x14ac:dyDescent="0.2">
      <c r="B15" s="4"/>
    </row>
    <row r="16" spans="2:13" x14ac:dyDescent="0.2">
      <c r="B16" s="4" t="s">
        <v>107</v>
      </c>
      <c r="M16" s="9"/>
    </row>
    <row r="17" spans="2:10" x14ac:dyDescent="0.2">
      <c r="B17" s="73" t="str">
        <f ca="1">"Tanggal Lahir dapat di isi dengan menginput seperti berikut:"&amp;CHAR(10)&amp;"Untuk hari ini, "&amp;TEXT(TODAY(),"[$-421]dd mmmm yyyy")&amp;", dapat diinput dengan cara mengetik "&amp;TEXT(TODAY(),"D")&amp;TEXT(TODAY(),"MMM")&amp;TEXT(TODAY(),"YYYY")&amp;" atau "&amp;TEXT(TODAY(),"d/mm/yyyy")</f>
        <v>Tanggal Lahir dapat di isi dengan menginput seperti berikut:
Untuk hari ini, 13 Oktober 2018, dapat diinput dengan cara mengetik 13Oct2018 atau 13/10/2018</v>
      </c>
      <c r="C17" s="74"/>
      <c r="D17" s="75"/>
    </row>
    <row r="18" spans="2:10" x14ac:dyDescent="0.2">
      <c r="B18" s="76"/>
      <c r="C18" s="77"/>
      <c r="D18" s="78"/>
    </row>
    <row r="19" spans="2:10" x14ac:dyDescent="0.2">
      <c r="B19" s="76"/>
      <c r="C19" s="77"/>
      <c r="D19" s="78"/>
    </row>
    <row r="20" spans="2:10" x14ac:dyDescent="0.2">
      <c r="B20" s="79"/>
      <c r="C20" s="80"/>
      <c r="D20" s="81"/>
    </row>
    <row r="22" spans="2:10" x14ac:dyDescent="0.2">
      <c r="B22" s="4" t="s">
        <v>55</v>
      </c>
    </row>
    <row r="23" spans="2:10" ht="4.5" customHeight="1" x14ac:dyDescent="0.2"/>
    <row r="24" spans="2:10" x14ac:dyDescent="0.2">
      <c r="B24" s="10" t="s">
        <v>51</v>
      </c>
      <c r="C24" s="11" t="s">
        <v>4</v>
      </c>
      <c r="D24" s="12" t="s">
        <v>53</v>
      </c>
    </row>
    <row r="25" spans="2:10" x14ac:dyDescent="0.2">
      <c r="B25" s="13" t="s">
        <v>1</v>
      </c>
      <c r="C25" s="14" t="s">
        <v>4</v>
      </c>
      <c r="D25" s="15" t="s">
        <v>2</v>
      </c>
    </row>
    <row r="26" spans="2:10" x14ac:dyDescent="0.2">
      <c r="B26" s="13" t="s">
        <v>3</v>
      </c>
      <c r="C26" s="14" t="s">
        <v>4</v>
      </c>
      <c r="D26" s="16">
        <v>14889</v>
      </c>
      <c r="G26" s="17"/>
      <c r="H26" s="21"/>
    </row>
    <row r="27" spans="2:10" x14ac:dyDescent="0.2">
      <c r="B27" s="13" t="s">
        <v>52</v>
      </c>
      <c r="C27" s="14" t="s">
        <v>4</v>
      </c>
      <c r="D27" s="3">
        <f ca="1">ROUND((TODAY()-PH_DoB)/365.25,0)</f>
        <v>78</v>
      </c>
      <c r="H27" s="44">
        <f ca="1">IF(PH_In="Iya",ROUNDUP(TODAY()-65*365.25,0),1)</f>
        <v>1</v>
      </c>
    </row>
    <row r="28" spans="2:10" x14ac:dyDescent="0.2">
      <c r="B28" s="18" t="s">
        <v>5</v>
      </c>
      <c r="C28" s="19" t="s">
        <v>4</v>
      </c>
      <c r="D28" s="20" t="s">
        <v>6</v>
      </c>
      <c r="J28" s="21"/>
    </row>
    <row r="29" spans="2:10" x14ac:dyDescent="0.2">
      <c r="G29" s="17"/>
      <c r="J29" s="21"/>
    </row>
    <row r="30" spans="2:10" x14ac:dyDescent="0.2">
      <c r="B30" s="22" t="s">
        <v>54</v>
      </c>
      <c r="G30" s="17"/>
    </row>
    <row r="31" spans="2:10" x14ac:dyDescent="0.2">
      <c r="B31" s="23" t="s">
        <v>123</v>
      </c>
    </row>
    <row r="33" spans="2:4" x14ac:dyDescent="0.2">
      <c r="B33" s="4" t="s">
        <v>56</v>
      </c>
    </row>
    <row r="34" spans="2:4" ht="4.5" customHeight="1" x14ac:dyDescent="0.2"/>
    <row r="35" spans="2:4" x14ac:dyDescent="0.2">
      <c r="B35" s="10" t="s">
        <v>0</v>
      </c>
      <c r="C35" s="11" t="s">
        <v>4</v>
      </c>
      <c r="D35" s="12" t="s">
        <v>124</v>
      </c>
    </row>
    <row r="36" spans="2:4" x14ac:dyDescent="0.2">
      <c r="B36" s="13" t="s">
        <v>1</v>
      </c>
      <c r="C36" s="14" t="s">
        <v>4</v>
      </c>
      <c r="D36" s="15" t="s">
        <v>2</v>
      </c>
    </row>
    <row r="37" spans="2:4" x14ac:dyDescent="0.2">
      <c r="B37" s="13" t="s">
        <v>3</v>
      </c>
      <c r="C37" s="14" t="s">
        <v>4</v>
      </c>
      <c r="D37" s="16">
        <v>43368</v>
      </c>
    </row>
    <row r="38" spans="2:4" x14ac:dyDescent="0.2">
      <c r="B38" s="13" t="s">
        <v>52</v>
      </c>
      <c r="C38" s="14" t="s">
        <v>4</v>
      </c>
      <c r="D38" s="3">
        <f ca="1">ROUND((TODAY()-In_DoB)/365.25,0)</f>
        <v>0</v>
      </c>
    </row>
    <row r="39" spans="2:4" x14ac:dyDescent="0.2">
      <c r="B39" s="18" t="s">
        <v>5</v>
      </c>
      <c r="C39" s="19" t="s">
        <v>4</v>
      </c>
      <c r="D39" s="20" t="s">
        <v>9</v>
      </c>
    </row>
    <row r="40" spans="2:4" x14ac:dyDescent="0.2">
      <c r="B40" s="4"/>
    </row>
    <row r="41" spans="2:4" x14ac:dyDescent="0.2">
      <c r="B41" s="4" t="s">
        <v>57</v>
      </c>
    </row>
    <row r="42" spans="2:4" ht="4.5" customHeight="1" x14ac:dyDescent="0.2"/>
    <row r="43" spans="2:4" x14ac:dyDescent="0.2">
      <c r="B43" s="10" t="s">
        <v>58</v>
      </c>
      <c r="C43" s="11" t="s">
        <v>4</v>
      </c>
      <c r="D43" s="24" t="s">
        <v>62</v>
      </c>
    </row>
    <row r="44" spans="2:4" x14ac:dyDescent="0.2">
      <c r="B44" s="13" t="s">
        <v>59</v>
      </c>
      <c r="C44" s="14" t="s">
        <v>4</v>
      </c>
      <c r="D44" s="25">
        <v>12000000</v>
      </c>
    </row>
    <row r="45" spans="2:4" x14ac:dyDescent="0.2">
      <c r="B45" s="13" t="s">
        <v>60</v>
      </c>
      <c r="C45" s="14" t="s">
        <v>4</v>
      </c>
      <c r="D45" s="25">
        <f>D46-D44</f>
        <v>988000000</v>
      </c>
    </row>
    <row r="46" spans="2:4" x14ac:dyDescent="0.2">
      <c r="B46" s="13" t="s">
        <v>61</v>
      </c>
      <c r="C46" s="14" t="s">
        <v>4</v>
      </c>
      <c r="D46" s="26">
        <v>1000000000</v>
      </c>
    </row>
    <row r="47" spans="2:4" x14ac:dyDescent="0.2">
      <c r="B47" s="13" t="s">
        <v>63</v>
      </c>
      <c r="C47" s="14" t="s">
        <v>4</v>
      </c>
      <c r="D47" s="25">
        <v>15000000</v>
      </c>
    </row>
    <row r="48" spans="2:4" x14ac:dyDescent="0.2">
      <c r="B48" s="13" t="s">
        <v>64</v>
      </c>
      <c r="C48" s="14" t="s">
        <v>4</v>
      </c>
      <c r="D48" s="27">
        <v>5</v>
      </c>
    </row>
    <row r="49" spans="2:5" x14ac:dyDescent="0.2">
      <c r="B49" s="18" t="s">
        <v>65</v>
      </c>
      <c r="C49" s="19" t="s">
        <v>4</v>
      </c>
      <c r="D49" s="19" t="s">
        <v>66</v>
      </c>
      <c r="E49" s="28">
        <v>1</v>
      </c>
    </row>
    <row r="51" spans="2:5" x14ac:dyDescent="0.2">
      <c r="B51" s="4" t="s">
        <v>116</v>
      </c>
    </row>
    <row r="52" spans="2:5" ht="4.5" customHeight="1" x14ac:dyDescent="0.2"/>
    <row r="53" spans="2:5" x14ac:dyDescent="0.2">
      <c r="B53" s="10" t="s">
        <v>117</v>
      </c>
      <c r="C53" s="11" t="s">
        <v>4</v>
      </c>
      <c r="D53" s="12" t="s">
        <v>121</v>
      </c>
    </row>
    <row r="54" spans="2:5" x14ac:dyDescent="0.2">
      <c r="B54" s="13" t="s">
        <v>118</v>
      </c>
      <c r="C54" s="14" t="s">
        <v>4</v>
      </c>
      <c r="D54" s="29">
        <v>12345678</v>
      </c>
    </row>
    <row r="55" spans="2:5" x14ac:dyDescent="0.2">
      <c r="B55" s="18" t="s">
        <v>119</v>
      </c>
      <c r="C55" s="19" t="s">
        <v>4</v>
      </c>
      <c r="D55" s="30" t="s">
        <v>120</v>
      </c>
    </row>
  </sheetData>
  <sheetProtection algorithmName="SHA-512" hashValue="xmlLP1UQfFs5MlLq50l0cz2umT4ycCMKUYEw+cWtni1CyqHZngS3mXbYPh8f3CXyfj59TOtTVrErSeRRAWRKuQ==" saltValue="i9K+Wb3MM6Pn7qLS+bVQFg==" spinCount="100000" sheet="1" objects="1" scenarios="1"/>
  <mergeCells count="3">
    <mergeCell ref="B13:D13"/>
    <mergeCell ref="B12:D12"/>
    <mergeCell ref="B17:D20"/>
  </mergeCells>
  <dataValidations count="9">
    <dataValidation type="list" allowBlank="1" showInputMessage="1" showErrorMessage="1" sqref="D36 D25" xr:uid="{00000000-0002-0000-0000-000000000000}">
      <formula1>"Pria, Wanita"</formula1>
    </dataValidation>
    <dataValidation type="list" allowBlank="1" showInputMessage="1" showErrorMessage="1" sqref="D39 D28" xr:uid="{00000000-0002-0000-0000-000001000000}">
      <formula1>Job</formula1>
    </dataValidation>
    <dataValidation type="list" allowBlank="1" showInputMessage="1" showErrorMessage="1" sqref="B31" xr:uid="{00000000-0002-0000-0000-000002000000}">
      <formula1>"Iya, Tidak"</formula1>
    </dataValidation>
    <dataValidation type="date" allowBlank="1" showInputMessage="1" showErrorMessage="1" errorTitle="Batas Usia!" error="Min. 15 hari_x000a_Max. 70 tahun" sqref="D37" xr:uid="{00000000-0002-0000-0000-000003000000}">
      <formula1>ROUNDUP(TODAY()-65*365.25,0)</formula1>
      <formula2>TODAY()-15</formula2>
    </dataValidation>
    <dataValidation type="date" allowBlank="1" showInputMessage="1" showErrorMessage="1" errorTitle="Batas Usia!" error="Min. 18 tahun_x000a_Max. 65 tahun jika pemegang polis sama dengan tertanggung" sqref="D26" xr:uid="{00000000-0002-0000-0000-000004000000}">
      <formula1>H27</formula1>
      <formula2>ROUNDUP(TODAY()-18*365.25,0)</formula2>
    </dataValidation>
    <dataValidation type="list" allowBlank="1" showInputMessage="1" showErrorMessage="1" sqref="D43" xr:uid="{00000000-0002-0000-0000-000005000000}">
      <formula1>"Rupiah"</formula1>
    </dataValidation>
    <dataValidation type="whole" allowBlank="1" showInputMessage="1" showErrorMessage="1" sqref="D46" xr:uid="{00000000-0002-0000-0000-000006000000}">
      <formula1>100000000</formula1>
      <formula2>999999999999999000</formula2>
    </dataValidation>
    <dataValidation type="list" allowBlank="1" showInputMessage="1" showErrorMessage="1" sqref="D49" xr:uid="{00000000-0002-0000-0000-000007000000}">
      <formula1>"TM Invest Pro Plus Fund"</formula1>
    </dataValidation>
    <dataValidation type="list" allowBlank="1" showInputMessage="1" showErrorMessage="1" sqref="B13" xr:uid="{00000000-0002-0000-0000-000008000000}">
      <formula1>"Diisi dengan memilih pilihan"</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B47"/>
  <sheetViews>
    <sheetView showGridLines="0" topLeftCell="XFD1" workbookViewId="0">
      <selection activeCell="B1" sqref="B1:B1048576"/>
    </sheetView>
  </sheetViews>
  <sheetFormatPr baseColWidth="10" defaultColWidth="0" defaultRowHeight="15" x14ac:dyDescent="0.2"/>
  <cols>
    <col min="1" max="1" width="9.1640625" hidden="1" customWidth="1"/>
    <col min="2" max="2" width="32.1640625" hidden="1" customWidth="1"/>
    <col min="3" max="16384" width="9.1640625" hidden="1"/>
  </cols>
  <sheetData>
    <row r="3" spans="2:2" x14ac:dyDescent="0.2">
      <c r="B3" s="1" t="s">
        <v>6</v>
      </c>
    </row>
    <row r="4" spans="2:2" x14ac:dyDescent="0.2">
      <c r="B4" s="1" t="s">
        <v>7</v>
      </c>
    </row>
    <row r="5" spans="2:2" x14ac:dyDescent="0.2">
      <c r="B5" s="1" t="s">
        <v>8</v>
      </c>
    </row>
    <row r="6" spans="2:2" x14ac:dyDescent="0.2">
      <c r="B6" s="2" t="s">
        <v>9</v>
      </c>
    </row>
    <row r="7" spans="2:2" x14ac:dyDescent="0.2">
      <c r="B7" s="1" t="s">
        <v>10</v>
      </c>
    </row>
    <row r="8" spans="2:2" x14ac:dyDescent="0.2">
      <c r="B8" s="1" t="s">
        <v>11</v>
      </c>
    </row>
    <row r="9" spans="2:2" x14ac:dyDescent="0.2">
      <c r="B9" s="1" t="s">
        <v>12</v>
      </c>
    </row>
    <row r="10" spans="2:2" x14ac:dyDescent="0.2">
      <c r="B10" s="1" t="s">
        <v>13</v>
      </c>
    </row>
    <row r="11" spans="2:2" x14ac:dyDescent="0.2">
      <c r="B11" s="1" t="s">
        <v>14</v>
      </c>
    </row>
    <row r="12" spans="2:2" x14ac:dyDescent="0.2">
      <c r="B12" s="1" t="s">
        <v>15</v>
      </c>
    </row>
    <row r="13" spans="2:2" x14ac:dyDescent="0.2">
      <c r="B13" s="1" t="s">
        <v>16</v>
      </c>
    </row>
    <row r="14" spans="2:2" x14ac:dyDescent="0.2">
      <c r="B14" s="1" t="s">
        <v>17</v>
      </c>
    </row>
    <row r="15" spans="2:2" x14ac:dyDescent="0.2">
      <c r="B15" s="1" t="s">
        <v>18</v>
      </c>
    </row>
    <row r="16" spans="2:2" x14ac:dyDescent="0.2">
      <c r="B16" s="1" t="s">
        <v>19</v>
      </c>
    </row>
    <row r="17" spans="2:2" x14ac:dyDescent="0.2">
      <c r="B17" s="1" t="s">
        <v>20</v>
      </c>
    </row>
    <row r="18" spans="2:2" x14ac:dyDescent="0.2">
      <c r="B18" s="1" t="s">
        <v>21</v>
      </c>
    </row>
    <row r="19" spans="2:2" x14ac:dyDescent="0.2">
      <c r="B19" s="1" t="s">
        <v>22</v>
      </c>
    </row>
    <row r="20" spans="2:2" x14ac:dyDescent="0.2">
      <c r="B20" s="1" t="s">
        <v>23</v>
      </c>
    </row>
    <row r="21" spans="2:2" x14ac:dyDescent="0.2">
      <c r="B21" s="1" t="s">
        <v>24</v>
      </c>
    </row>
    <row r="22" spans="2:2" x14ac:dyDescent="0.2">
      <c r="B22" s="1" t="s">
        <v>25</v>
      </c>
    </row>
    <row r="23" spans="2:2" x14ac:dyDescent="0.2">
      <c r="B23" s="1" t="s">
        <v>26</v>
      </c>
    </row>
    <row r="24" spans="2:2" x14ac:dyDescent="0.2">
      <c r="B24" s="1" t="s">
        <v>27</v>
      </c>
    </row>
    <row r="25" spans="2:2" x14ac:dyDescent="0.2">
      <c r="B25" s="1" t="s">
        <v>28</v>
      </c>
    </row>
    <row r="26" spans="2:2" x14ac:dyDescent="0.2">
      <c r="B26" s="1" t="s">
        <v>29</v>
      </c>
    </row>
    <row r="27" spans="2:2" x14ac:dyDescent="0.2">
      <c r="B27" s="1" t="s">
        <v>30</v>
      </c>
    </row>
    <row r="28" spans="2:2" x14ac:dyDescent="0.2">
      <c r="B28" s="1" t="s">
        <v>31</v>
      </c>
    </row>
    <row r="29" spans="2:2" x14ac:dyDescent="0.2">
      <c r="B29" s="1" t="s">
        <v>32</v>
      </c>
    </row>
    <row r="30" spans="2:2" x14ac:dyDescent="0.2">
      <c r="B30" s="1" t="s">
        <v>33</v>
      </c>
    </row>
    <row r="31" spans="2:2" x14ac:dyDescent="0.2">
      <c r="B31" s="1" t="s">
        <v>34</v>
      </c>
    </row>
    <row r="32" spans="2:2" x14ac:dyDescent="0.2">
      <c r="B32" s="1" t="s">
        <v>35</v>
      </c>
    </row>
    <row r="33" spans="2:2" x14ac:dyDescent="0.2">
      <c r="B33" s="1" t="s">
        <v>36</v>
      </c>
    </row>
    <row r="34" spans="2:2" x14ac:dyDescent="0.2">
      <c r="B34" s="1" t="s">
        <v>37</v>
      </c>
    </row>
    <row r="35" spans="2:2" x14ac:dyDescent="0.2">
      <c r="B35" s="1" t="s">
        <v>38</v>
      </c>
    </row>
    <row r="36" spans="2:2" x14ac:dyDescent="0.2">
      <c r="B36" s="1" t="s">
        <v>39</v>
      </c>
    </row>
    <row r="37" spans="2:2" x14ac:dyDescent="0.2">
      <c r="B37" s="1" t="s">
        <v>40</v>
      </c>
    </row>
    <row r="38" spans="2:2" x14ac:dyDescent="0.2">
      <c r="B38" s="1" t="s">
        <v>41</v>
      </c>
    </row>
    <row r="39" spans="2:2" x14ac:dyDescent="0.2">
      <c r="B39" s="1" t="s">
        <v>42</v>
      </c>
    </row>
    <row r="40" spans="2:2" x14ac:dyDescent="0.2">
      <c r="B40" s="1" t="s">
        <v>43</v>
      </c>
    </row>
    <row r="41" spans="2:2" x14ac:dyDescent="0.2">
      <c r="B41" s="1" t="s">
        <v>50</v>
      </c>
    </row>
    <row r="42" spans="2:2" x14ac:dyDescent="0.2">
      <c r="B42" s="1" t="s">
        <v>44</v>
      </c>
    </row>
    <row r="43" spans="2:2" x14ac:dyDescent="0.2">
      <c r="B43" s="1" t="s">
        <v>45</v>
      </c>
    </row>
    <row r="44" spans="2:2" x14ac:dyDescent="0.2">
      <c r="B44" s="1" t="s">
        <v>46</v>
      </c>
    </row>
    <row r="45" spans="2:2" x14ac:dyDescent="0.2">
      <c r="B45" s="1" t="s">
        <v>47</v>
      </c>
    </row>
    <row r="46" spans="2:2" x14ac:dyDescent="0.2">
      <c r="B46" s="1" t="s">
        <v>48</v>
      </c>
    </row>
    <row r="47" spans="2:2" x14ac:dyDescent="0.2">
      <c r="B47" s="1" t="s">
        <v>49</v>
      </c>
    </row>
  </sheetData>
  <sheetProtection algorithmName="SHA-512" hashValue="w2VLLBgkzKlA91EVylFSjpn/QAIGZTB95NRcx+q3AXT8tX0EqLYbZz9vEogpLMKCljBras7FuPvXXn5bu3Bg1w==" saltValue="1O7ePzk9dcDIsHogEfFNCQ==" spinCount="100000" sheet="1" objects="1" scenarios="1"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L35"/>
  <sheetViews>
    <sheetView topLeftCell="A1048576" zoomScale="115" zoomScaleNormal="115" workbookViewId="0">
      <selection activeCell="B1" sqref="B1:B1048576"/>
    </sheetView>
  </sheetViews>
  <sheetFormatPr baseColWidth="10" defaultColWidth="9.1640625" defaultRowHeight="15" zeroHeight="1" x14ac:dyDescent="0.2"/>
  <cols>
    <col min="1" max="2" width="9.1640625" style="31"/>
    <col min="3" max="3" width="16.6640625" style="31" bestFit="1" customWidth="1"/>
    <col min="4" max="4" width="10.33203125" style="31" bestFit="1" customWidth="1"/>
    <col min="5" max="5" width="13.6640625" style="31" bestFit="1" customWidth="1"/>
    <col min="6" max="6" width="11.5" style="31" bestFit="1" customWidth="1"/>
    <col min="7" max="8" width="13" style="31" bestFit="1" customWidth="1"/>
    <col min="9" max="9" width="9.1640625" style="31"/>
    <col min="10" max="10" width="13" style="31" bestFit="1" customWidth="1"/>
    <col min="11" max="16384" width="9.1640625" style="31"/>
  </cols>
  <sheetData>
    <row r="2" spans="2:12" hidden="1" x14ac:dyDescent="0.2">
      <c r="B2" s="31" t="s">
        <v>103</v>
      </c>
    </row>
    <row r="3" spans="2:12" ht="14.5" hidden="1" customHeight="1" x14ac:dyDescent="0.2">
      <c r="B3" s="83" t="str">
        <f ca="1">IF(PH_In="Iya",H9,H3)</f>
        <v>Calon Tertanggung	          : Tertanggung
Jenis Kelamin	          : Pria
Tanggal Lahir	          : 25 September 2018
Usia	          : 0 tahun
Pekerjaan	          : Belum Sekolah</v>
      </c>
      <c r="C3" s="83"/>
      <c r="D3" s="83"/>
      <c r="E3" s="83"/>
      <c r="F3" s="83"/>
      <c r="G3" s="32"/>
      <c r="H3" s="83" t="str">
        <f ca="1">"Calon Tertanggung"&amp;REPT(CHAR(9),1)&amp;REPT(" ",10)&amp;": "&amp;In_Name&amp;CHAR(10)&amp;"Jenis Kelamin"&amp;REPT(CHAR(9),1)&amp;REPT(" ",10)&amp;": "&amp;In_Sex&amp;CHAR(10)&amp;"Tanggal Lahir"&amp;REPT(CHAR(9),1)&amp;REPT(" ",10)&amp;": "&amp;TEXT(In_DoB,"[$-421]DD MMMM YYYY")&amp;CHAR(10)&amp;"Usia"&amp;REPT(CHAR(9),1)&amp;REPT(" ",10)&amp;": "&amp;In_Age&amp;" tahun"&amp;CHAR(10)&amp;"Pekerjaan"&amp;REPT(CHAR(9),1)&amp;REPT(" ",10)&amp;": "&amp;In_Job</f>
        <v>Calon Tertanggung	          : Tertanggung
Jenis Kelamin	          : Pria
Tanggal Lahir	          : 25 September 2018
Usia	          : 0 tahun
Pekerjaan	          : Belum Sekolah</v>
      </c>
      <c r="I3" s="83"/>
      <c r="J3" s="83"/>
      <c r="K3" s="83"/>
      <c r="L3" s="83"/>
    </row>
    <row r="4" spans="2:12" ht="14.5" hidden="1" customHeight="1" x14ac:dyDescent="0.2">
      <c r="B4" s="83"/>
      <c r="C4" s="83"/>
      <c r="D4" s="83"/>
      <c r="E4" s="83"/>
      <c r="F4" s="83"/>
      <c r="H4" s="83"/>
      <c r="I4" s="83"/>
      <c r="J4" s="83"/>
      <c r="K4" s="83"/>
      <c r="L4" s="83"/>
    </row>
    <row r="5" spans="2:12" hidden="1" x14ac:dyDescent="0.2">
      <c r="B5" s="83"/>
      <c r="C5" s="83"/>
      <c r="D5" s="83"/>
      <c r="E5" s="83"/>
      <c r="F5" s="83"/>
      <c r="H5" s="83"/>
      <c r="I5" s="83"/>
      <c r="J5" s="83"/>
      <c r="K5" s="83"/>
      <c r="L5" s="83"/>
    </row>
    <row r="6" spans="2:12" hidden="1" x14ac:dyDescent="0.2">
      <c r="B6" s="83"/>
      <c r="C6" s="83"/>
      <c r="D6" s="83"/>
      <c r="E6" s="83"/>
      <c r="F6" s="83"/>
      <c r="H6" s="83"/>
      <c r="I6" s="83"/>
      <c r="J6" s="83"/>
      <c r="K6" s="83"/>
      <c r="L6" s="83"/>
    </row>
    <row r="7" spans="2:12" hidden="1" x14ac:dyDescent="0.2">
      <c r="B7" s="83"/>
      <c r="C7" s="83"/>
      <c r="D7" s="83"/>
      <c r="E7" s="83"/>
      <c r="F7" s="83"/>
      <c r="H7" s="83"/>
      <c r="I7" s="83"/>
      <c r="J7" s="83"/>
      <c r="K7" s="83"/>
      <c r="L7" s="83"/>
    </row>
    <row r="8" spans="2:12" hidden="1" x14ac:dyDescent="0.2"/>
    <row r="9" spans="2:12" ht="14.5" hidden="1" customHeight="1" x14ac:dyDescent="0.2">
      <c r="B9" s="83" t="str">
        <f ca="1">"Calon Pemegang Polis"&amp;REPT(" ",2)&amp;": "&amp;PH_Name&amp;CHAR(10)&amp;"Jenis Kelamin"&amp;REPT(CHAR(9),1)&amp;REPT(" ",7)&amp;": "&amp;PH_Sex&amp;CHAR(10)&amp;"Tanggal Lahir"&amp;REPT(CHAR(9),1)&amp;REPT(" ",7)&amp;": "&amp;TEXT(PH_DoB,"[$-421]DD MMMM YYYY")&amp;CHAR(10)&amp;"Usia"&amp;REPT(CHAR(9),1)&amp;REPT(" ",7)&amp;": "&amp;PH_Age&amp;" tahun"&amp;CHAR(10)&amp;"Pekerjaan"&amp;REPT(CHAR(9),1)&amp;REPT(" ",7)&amp;": "&amp;PH_Job</f>
        <v>Calon Pemegang Polis  : Pemegang Polis
Jenis Kelamin	       : Pria
Tanggal Lahir	       : 05 Oktober 1940
Usia	       : 78 tahun
Pekerjaan	       : Agen Penjualan</v>
      </c>
      <c r="C9" s="83"/>
      <c r="D9" s="83"/>
      <c r="E9" s="83"/>
      <c r="F9" s="83"/>
      <c r="H9" s="83" t="str">
        <f ca="1">"Calon Tertanggung"&amp;REPT(CHAR(9),1)&amp;REPT(" ",7)&amp;": "&amp;PH_Name&amp;CHAR(10)&amp;"Jenis Kelamin"&amp;REPT(CHAR(9),1)&amp;REPT(" ",7)&amp;": "&amp;PH_Sex&amp;CHAR(10)&amp;"Tanggal Lahir"&amp;REPT(CHAR(9),1)&amp;REPT(" ",7)&amp;": "&amp;TEXT(PH_DoB,"[$-421]DD MMMM YYYY")&amp;CHAR(10)&amp;"Usia"&amp;REPT(CHAR(9),1)&amp;REPT(" ",7)&amp;": "&amp;PH_Age&amp;" tahun"&amp;CHAR(10)&amp;"Pekerjaan"&amp;REPT(CHAR(9),1)&amp;REPT(" ",7)&amp;": "&amp;PH_Job</f>
        <v>Calon Tertanggung	       : Pemegang Polis
Jenis Kelamin	       : Pria
Tanggal Lahir	       : 05 Oktober 1940
Usia	       : 78 tahun
Pekerjaan	       : Agen Penjualan</v>
      </c>
      <c r="I9" s="83"/>
      <c r="J9" s="83"/>
      <c r="K9" s="83"/>
      <c r="L9" s="83"/>
    </row>
    <row r="10" spans="2:12" hidden="1" x14ac:dyDescent="0.2">
      <c r="B10" s="83"/>
      <c r="C10" s="83"/>
      <c r="D10" s="83"/>
      <c r="E10" s="83"/>
      <c r="F10" s="83"/>
      <c r="H10" s="83"/>
      <c r="I10" s="83"/>
      <c r="J10" s="83"/>
      <c r="K10" s="83"/>
      <c r="L10" s="83"/>
    </row>
    <row r="11" spans="2:12" hidden="1" x14ac:dyDescent="0.2">
      <c r="B11" s="83"/>
      <c r="C11" s="83"/>
      <c r="D11" s="83"/>
      <c r="E11" s="83"/>
      <c r="F11" s="83"/>
      <c r="H11" s="83"/>
      <c r="I11" s="83"/>
      <c r="J11" s="83"/>
      <c r="K11" s="83"/>
      <c r="L11" s="83"/>
    </row>
    <row r="12" spans="2:12" hidden="1" x14ac:dyDescent="0.2">
      <c r="B12" s="83"/>
      <c r="C12" s="83"/>
      <c r="D12" s="83"/>
      <c r="E12" s="83"/>
      <c r="F12" s="83"/>
      <c r="H12" s="83"/>
      <c r="I12" s="83"/>
      <c r="J12" s="83"/>
      <c r="K12" s="83"/>
      <c r="L12" s="83"/>
    </row>
    <row r="13" spans="2:12" hidden="1" x14ac:dyDescent="0.2">
      <c r="B13" s="83"/>
      <c r="C13" s="83"/>
      <c r="D13" s="83"/>
      <c r="E13" s="83"/>
      <c r="F13" s="83"/>
      <c r="H13" s="83"/>
      <c r="I13" s="83"/>
      <c r="J13" s="83"/>
      <c r="K13" s="83"/>
      <c r="L13" s="83"/>
    </row>
    <row r="14" spans="2:12" hidden="1" x14ac:dyDescent="0.2">
      <c r="B14" s="33"/>
    </row>
    <row r="15" spans="2:12" ht="14.5" hidden="1" customHeight="1" x14ac:dyDescent="0.2">
      <c r="B15" s="83" t="str">
        <f>"Mata Uang"&amp;REPT(CHAR(9),2)&amp;": Rupiah"&amp;CHAR(10)&amp;"Premi Tunggal"&amp;REPT(CHAR(9),2)&amp;": "&amp;SUBSTITUTE(TEXT(Single_Prem,"#,##0"),",",".")&amp;CHAR(10)&amp;"Premi Top Up Tunggal"&amp;REPT(CHAR(9),1)&amp;": "&amp;SUBSTITUTE(TEXT(STU,"#,##0"),",",".")&amp;CHAR(10)&amp;"Premi Total"&amp;REPT(CHAR(9),2)&amp;": "&amp;SUBSTITUTE(TEXT(Total_Prem,"#,##0"),",",".")</f>
        <v>Mata Uang		: Rupiah
Premi Tunggal		: 12.000.000
Premi Top Up Tunggal	: 988.000.000
Premi Total		: 1.000.000.000</v>
      </c>
      <c r="C15" s="83"/>
      <c r="D15" s="83"/>
      <c r="E15" s="83"/>
      <c r="F15" s="83"/>
    </row>
    <row r="16" spans="2:12" hidden="1" x14ac:dyDescent="0.2">
      <c r="B16" s="83"/>
      <c r="C16" s="83"/>
      <c r="D16" s="83"/>
      <c r="E16" s="83"/>
      <c r="F16" s="83"/>
    </row>
    <row r="17" spans="2:10" hidden="1" x14ac:dyDescent="0.2">
      <c r="B17" s="83"/>
      <c r="C17" s="83"/>
      <c r="D17" s="83"/>
      <c r="E17" s="83"/>
      <c r="F17" s="83"/>
    </row>
    <row r="18" spans="2:10" hidden="1" x14ac:dyDescent="0.2">
      <c r="B18" s="83"/>
      <c r="C18" s="83"/>
      <c r="D18" s="83"/>
      <c r="E18" s="83"/>
      <c r="F18" s="83"/>
    </row>
    <row r="19" spans="2:10" hidden="1" x14ac:dyDescent="0.2">
      <c r="B19" s="32"/>
      <c r="C19" s="32"/>
      <c r="D19" s="32"/>
      <c r="E19" s="32"/>
      <c r="F19" s="32"/>
    </row>
    <row r="20" spans="2:10" hidden="1" x14ac:dyDescent="0.2">
      <c r="B20" s="32"/>
      <c r="C20" s="32"/>
      <c r="D20" s="32"/>
      <c r="E20" s="32"/>
      <c r="F20" s="32"/>
    </row>
    <row r="21" spans="2:10" hidden="1" x14ac:dyDescent="0.2">
      <c r="B21" s="32" t="s">
        <v>102</v>
      </c>
      <c r="C21" s="32"/>
      <c r="D21" s="32"/>
      <c r="E21" s="32"/>
      <c r="F21" s="32"/>
    </row>
    <row r="22" spans="2:10" hidden="1" x14ac:dyDescent="0.2">
      <c r="B22" s="34" t="s">
        <v>82</v>
      </c>
      <c r="C22" s="34" t="s">
        <v>83</v>
      </c>
      <c r="D22" s="34" t="s">
        <v>81</v>
      </c>
      <c r="E22" s="34" t="s">
        <v>85</v>
      </c>
      <c r="F22" s="34" t="s">
        <v>80</v>
      </c>
      <c r="G22" s="34" t="s">
        <v>84</v>
      </c>
      <c r="H22" s="35" t="s">
        <v>89</v>
      </c>
      <c r="I22" s="35" t="s">
        <v>91</v>
      </c>
      <c r="J22" s="35" t="s">
        <v>92</v>
      </c>
    </row>
    <row r="23" spans="2:10" hidden="1" x14ac:dyDescent="0.2">
      <c r="B23" s="34">
        <v>1</v>
      </c>
      <c r="C23" s="36">
        <f>Total_Prem</f>
        <v>1000000000</v>
      </c>
      <c r="D23" s="37">
        <v>0.08</v>
      </c>
      <c r="E23" s="38">
        <v>0.1</v>
      </c>
      <c r="F23" s="36">
        <f>C23*D23</f>
        <v>80000000</v>
      </c>
      <c r="G23" s="36">
        <f>$C$23*E23</f>
        <v>100000000</v>
      </c>
      <c r="H23" s="36">
        <f>C24+SA</f>
        <v>915000000</v>
      </c>
      <c r="I23" s="38">
        <v>0.2</v>
      </c>
      <c r="J23" s="36">
        <f>C24*(1-I23)</f>
        <v>720000000</v>
      </c>
    </row>
    <row r="24" spans="2:10" hidden="1" x14ac:dyDescent="0.2">
      <c r="B24" s="34">
        <v>2</v>
      </c>
      <c r="C24" s="39">
        <f>C23-G23</f>
        <v>900000000</v>
      </c>
      <c r="D24" s="37">
        <v>8.8888888888888892E-2</v>
      </c>
      <c r="E24" s="38">
        <v>0</v>
      </c>
      <c r="F24" s="39">
        <f>C24*D24</f>
        <v>80000000</v>
      </c>
      <c r="G24" s="36">
        <f t="shared" ref="G24:G27" si="0">$C$23*E24</f>
        <v>0</v>
      </c>
      <c r="H24" s="36">
        <f>C25+SA</f>
        <v>915000000</v>
      </c>
      <c r="I24" s="38">
        <v>0.15</v>
      </c>
      <c r="J24" s="36">
        <f>C25*(1-I24)</f>
        <v>765000000</v>
      </c>
    </row>
    <row r="25" spans="2:10" hidden="1" x14ac:dyDescent="0.2">
      <c r="B25" s="34">
        <v>3</v>
      </c>
      <c r="C25" s="39">
        <f t="shared" ref="C25:C27" si="1">C24-G24</f>
        <v>900000000</v>
      </c>
      <c r="D25" s="37">
        <v>8.8888888888888892E-2</v>
      </c>
      <c r="E25" s="38">
        <v>0.4</v>
      </c>
      <c r="F25" s="39">
        <f t="shared" ref="F25:F27" si="2">C25*D25</f>
        <v>80000000</v>
      </c>
      <c r="G25" s="36">
        <f t="shared" si="0"/>
        <v>400000000</v>
      </c>
      <c r="H25" s="36">
        <f>C26+SA</f>
        <v>515000000</v>
      </c>
      <c r="I25" s="38">
        <v>0.15</v>
      </c>
      <c r="J25" s="36">
        <f>C26*(1-I25)</f>
        <v>425000000</v>
      </c>
    </row>
    <row r="26" spans="2:10" hidden="1" x14ac:dyDescent="0.2">
      <c r="B26" s="34">
        <v>4</v>
      </c>
      <c r="C26" s="39">
        <f t="shared" si="1"/>
        <v>500000000</v>
      </c>
      <c r="D26" s="37">
        <v>0.1</v>
      </c>
      <c r="E26" s="38">
        <v>0</v>
      </c>
      <c r="F26" s="39">
        <f t="shared" si="2"/>
        <v>50000000</v>
      </c>
      <c r="G26" s="36">
        <f t="shared" si="0"/>
        <v>0</v>
      </c>
      <c r="H26" s="36">
        <f>C27+SA</f>
        <v>515000000</v>
      </c>
      <c r="I26" s="38">
        <v>0.15</v>
      </c>
      <c r="J26" s="36">
        <f>C27*(1-I26)</f>
        <v>425000000</v>
      </c>
    </row>
    <row r="27" spans="2:10" hidden="1" x14ac:dyDescent="0.2">
      <c r="B27" s="34">
        <v>5</v>
      </c>
      <c r="C27" s="39">
        <f t="shared" si="1"/>
        <v>500000000</v>
      </c>
      <c r="D27" s="37">
        <v>0.1</v>
      </c>
      <c r="E27" s="38">
        <v>0.5</v>
      </c>
      <c r="F27" s="39">
        <f t="shared" si="2"/>
        <v>50000000</v>
      </c>
      <c r="G27" s="36">
        <f t="shared" si="0"/>
        <v>500000000</v>
      </c>
      <c r="H27" s="36">
        <v>0</v>
      </c>
      <c r="I27" s="38">
        <v>0</v>
      </c>
      <c r="J27" s="36">
        <f>C28*(1-I27)</f>
        <v>0</v>
      </c>
    </row>
    <row r="28" spans="2:10" hidden="1" x14ac:dyDescent="0.2">
      <c r="F28" s="40" t="s">
        <v>86</v>
      </c>
      <c r="G28" s="41">
        <f>SUM(F23:G27)</f>
        <v>1340000000</v>
      </c>
    </row>
    <row r="29" spans="2:10" hidden="1" x14ac:dyDescent="0.2"/>
    <row r="30" spans="2:10" hidden="1" x14ac:dyDescent="0.2"/>
    <row r="31" spans="2:10" hidden="1" x14ac:dyDescent="0.2"/>
    <row r="32" spans="2:10" hidden="1" x14ac:dyDescent="0.2"/>
    <row r="33" spans="2:4" hidden="1" x14ac:dyDescent="0.2">
      <c r="B33" s="82" t="str">
        <f ca="1">"Nama/Kode Financial Consultant"&amp;CHAR(9)&amp;": "&amp;FC_Name&amp;CHAR(10)&amp;"Nama Kantor Pemasaran"&amp;CHAR(9)&amp;": "&amp;FC_Code&amp;CHAR(10)&amp;"Tanggal"&amp;REPT(CHAR(9),2)&amp;": "&amp;TEXT(TODAY(),"[$-421]dd mmmm yyyy")</f>
        <v>Nama/Kode Financial Consultant	: Tokio Marine
Nama Kantor Pemasaran	: 12345678
Tanggal		: 13 Oktober 2018</v>
      </c>
      <c r="C33" s="82"/>
      <c r="D33" s="82"/>
    </row>
    <row r="34" spans="2:4" hidden="1" x14ac:dyDescent="0.2">
      <c r="B34" s="82"/>
      <c r="C34" s="82"/>
      <c r="D34" s="82"/>
    </row>
    <row r="35" spans="2:4" hidden="1" x14ac:dyDescent="0.2">
      <c r="B35" s="82"/>
      <c r="C35" s="82"/>
      <c r="D35" s="82"/>
    </row>
  </sheetData>
  <sheetProtection algorithmName="SHA-512" hashValue="tzP/3eujzgeyDC+0bPoiPCy1P7dn4HfAYy9HPq4zGousZBMBudWXCgfWRB6mT5fUOK+MOMoR20FeGOYp9hGq7Q==" saltValue="c3UERSM4+RawzgBaRf0W/w==" spinCount="100000" sheet="1" objects="1" scenarios="1"/>
  <mergeCells count="6">
    <mergeCell ref="B33:D35"/>
    <mergeCell ref="B3:F7"/>
    <mergeCell ref="B9:F13"/>
    <mergeCell ref="B15:F18"/>
    <mergeCell ref="H9:L13"/>
    <mergeCell ref="H3:L7"/>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2:J270"/>
  <sheetViews>
    <sheetView showWhiteSpace="0" view="pageBreakPreview" zoomScale="85" zoomScaleNormal="55" zoomScaleSheetLayoutView="85" zoomScalePageLayoutView="85" workbookViewId="0">
      <selection activeCell="I21" sqref="I21"/>
    </sheetView>
  </sheetViews>
  <sheetFormatPr baseColWidth="10" defaultColWidth="8.83203125" defaultRowHeight="14" x14ac:dyDescent="0.2"/>
  <cols>
    <col min="1" max="1" width="3.6640625" style="46" customWidth="1"/>
    <col min="2" max="2" width="9.5" style="46" bestFit="1" customWidth="1"/>
    <col min="3" max="3" width="9.6640625" style="46" customWidth="1"/>
    <col min="4" max="4" width="11.33203125" style="46" customWidth="1"/>
    <col min="5" max="5" width="12" style="46" customWidth="1"/>
    <col min="6" max="8" width="8.83203125" style="46"/>
    <col min="9" max="9" width="8.83203125" style="46" customWidth="1"/>
    <col min="10" max="10" width="9.6640625" style="46" customWidth="1"/>
    <col min="11" max="16384" width="8.83203125" style="50"/>
  </cols>
  <sheetData>
    <row r="2" spans="1:10" x14ac:dyDescent="0.2">
      <c r="A2" s="90" t="s">
        <v>113</v>
      </c>
      <c r="B2" s="90"/>
      <c r="C2" s="90"/>
      <c r="D2" s="90"/>
    </row>
    <row r="3" spans="1:10" x14ac:dyDescent="0.2">
      <c r="A3" s="90"/>
      <c r="B3" s="90"/>
      <c r="C3" s="90"/>
      <c r="D3" s="90"/>
    </row>
    <row r="4" spans="1:10" x14ac:dyDescent="0.2">
      <c r="A4" s="46" t="str">
        <f ca="1">"Nomor Ilustrasi : IP"&amp;UPPER(LEFT(FC_Name,1))&amp;UPPER(LEFT(Office,1)&amp;"-"&amp;TODAY()&amp;"-"&amp;(ROUND(NOW()-TODAY(),5))*100000)</f>
        <v>Nomor Ilustrasi : IPTJ-43386-57144</v>
      </c>
      <c r="B4" s="50"/>
      <c r="C4" s="50"/>
      <c r="D4" s="50"/>
      <c r="E4" s="50"/>
      <c r="F4" s="50"/>
      <c r="G4" s="50"/>
      <c r="H4" s="50"/>
      <c r="I4" s="50"/>
      <c r="J4" s="50"/>
    </row>
    <row r="5" spans="1:10" x14ac:dyDescent="0.2">
      <c r="A5" s="50"/>
      <c r="B5" s="50"/>
      <c r="C5" s="50"/>
      <c r="D5" s="50"/>
      <c r="E5" s="50"/>
      <c r="F5" s="50"/>
      <c r="G5" s="50"/>
      <c r="H5" s="50"/>
      <c r="I5" s="50"/>
      <c r="J5" s="50"/>
    </row>
    <row r="6" spans="1:10" x14ac:dyDescent="0.2">
      <c r="A6" s="51" t="s">
        <v>67</v>
      </c>
      <c r="B6" s="50"/>
      <c r="C6" s="52"/>
      <c r="D6" s="50"/>
      <c r="E6" s="50"/>
      <c r="F6" s="53" t="s">
        <v>68</v>
      </c>
      <c r="G6" s="50"/>
      <c r="H6" s="50"/>
      <c r="I6" s="50"/>
      <c r="J6" s="50"/>
    </row>
    <row r="7" spans="1:10" x14ac:dyDescent="0.2">
      <c r="A7" s="50"/>
      <c r="B7" s="50"/>
      <c r="C7" s="50"/>
      <c r="D7" s="50"/>
      <c r="E7" s="50"/>
      <c r="F7" s="50"/>
      <c r="G7" s="50"/>
      <c r="H7" s="50"/>
      <c r="I7" s="50"/>
      <c r="J7" s="50"/>
    </row>
    <row r="8" spans="1:10" x14ac:dyDescent="0.2">
      <c r="A8" s="50"/>
      <c r="B8" s="50"/>
      <c r="C8" s="50"/>
      <c r="D8" s="50"/>
      <c r="E8" s="50"/>
      <c r="F8" s="50"/>
      <c r="G8" s="50"/>
      <c r="H8" s="50"/>
      <c r="I8" s="50"/>
      <c r="J8" s="50"/>
    </row>
    <row r="9" spans="1:10" x14ac:dyDescent="0.2">
      <c r="A9" s="50"/>
      <c r="B9" s="50"/>
      <c r="C9" s="50"/>
      <c r="D9" s="50"/>
      <c r="E9" s="50"/>
      <c r="F9" s="50"/>
      <c r="G9" s="50"/>
      <c r="H9" s="50"/>
      <c r="I9" s="50"/>
      <c r="J9" s="50"/>
    </row>
    <row r="10" spans="1:10" x14ac:dyDescent="0.2">
      <c r="A10" s="50"/>
      <c r="B10" s="50"/>
      <c r="C10" s="50"/>
      <c r="D10" s="50"/>
      <c r="E10" s="50"/>
      <c r="F10" s="50"/>
      <c r="G10" s="50"/>
      <c r="H10" s="50"/>
      <c r="I10" s="50"/>
      <c r="J10" s="50"/>
    </row>
    <row r="11" spans="1:10" x14ac:dyDescent="0.2">
      <c r="A11" s="50"/>
      <c r="B11" s="50"/>
      <c r="C11" s="50"/>
      <c r="D11" s="50"/>
      <c r="E11" s="50"/>
      <c r="F11" s="50"/>
      <c r="G11" s="50"/>
      <c r="H11" s="50"/>
      <c r="I11" s="50"/>
      <c r="J11" s="50"/>
    </row>
    <row r="12" spans="1:10" x14ac:dyDescent="0.2">
      <c r="A12" s="51" t="s">
        <v>69</v>
      </c>
      <c r="B12" s="50"/>
      <c r="C12" s="50"/>
      <c r="D12" s="50"/>
      <c r="E12" s="50"/>
      <c r="F12" s="50"/>
      <c r="G12" s="50"/>
      <c r="H12" s="50"/>
      <c r="I12" s="50"/>
      <c r="J12" s="50"/>
    </row>
    <row r="13" spans="1:10" x14ac:dyDescent="0.2">
      <c r="A13" s="50"/>
      <c r="B13" s="50"/>
      <c r="C13" s="50"/>
      <c r="D13" s="50"/>
      <c r="E13" s="50"/>
      <c r="F13" s="50"/>
      <c r="G13" s="50"/>
      <c r="H13" s="50"/>
      <c r="I13" s="50"/>
      <c r="J13" s="50"/>
    </row>
    <row r="14" spans="1:10" x14ac:dyDescent="0.2">
      <c r="A14" s="50"/>
      <c r="B14" s="50"/>
      <c r="C14" s="50"/>
      <c r="D14" s="50"/>
      <c r="E14" s="50"/>
      <c r="F14" s="50"/>
      <c r="G14" s="50"/>
      <c r="H14" s="50"/>
      <c r="I14" s="50"/>
      <c r="J14" s="50"/>
    </row>
    <row r="15" spans="1:10" x14ac:dyDescent="0.2">
      <c r="A15" s="50"/>
      <c r="B15" s="50"/>
      <c r="C15" s="50"/>
      <c r="D15" s="50"/>
      <c r="E15" s="50"/>
      <c r="F15" s="50"/>
      <c r="G15" s="50"/>
      <c r="H15" s="50"/>
      <c r="I15" s="50"/>
      <c r="J15" s="50"/>
    </row>
    <row r="16" spans="1:10" x14ac:dyDescent="0.2">
      <c r="A16" s="50"/>
      <c r="B16" s="50"/>
      <c r="C16" s="50"/>
      <c r="D16" s="50"/>
      <c r="E16" s="50"/>
      <c r="F16" s="50"/>
      <c r="G16" s="50"/>
      <c r="H16" s="50"/>
      <c r="I16" s="50"/>
      <c r="J16" s="50"/>
    </row>
    <row r="17" spans="1:10" x14ac:dyDescent="0.2">
      <c r="A17" s="50"/>
      <c r="B17" s="50"/>
      <c r="C17" s="50"/>
      <c r="D17" s="50"/>
      <c r="E17" s="50"/>
      <c r="F17" s="50"/>
      <c r="G17" s="50"/>
      <c r="H17" s="50"/>
      <c r="I17" s="50"/>
      <c r="J17" s="50"/>
    </row>
    <row r="18" spans="1:10" x14ac:dyDescent="0.2">
      <c r="A18" s="50"/>
      <c r="B18" s="50"/>
      <c r="C18" s="50"/>
      <c r="D18" s="50"/>
      <c r="E18" s="50"/>
      <c r="F18" s="50"/>
      <c r="G18" s="50"/>
      <c r="H18" s="50"/>
      <c r="I18" s="50"/>
      <c r="J18" s="50"/>
    </row>
    <row r="19" spans="1:10" x14ac:dyDescent="0.2">
      <c r="A19" s="50"/>
      <c r="B19" s="50"/>
      <c r="C19" s="50"/>
      <c r="D19" s="50"/>
      <c r="E19" s="50"/>
      <c r="F19" s="50"/>
      <c r="G19" s="50"/>
      <c r="H19" s="50"/>
      <c r="I19" s="50"/>
      <c r="J19" s="50"/>
    </row>
    <row r="20" spans="1:10" x14ac:dyDescent="0.2">
      <c r="A20" s="50"/>
      <c r="B20" s="50"/>
      <c r="C20" s="50"/>
      <c r="D20" s="50"/>
      <c r="E20" s="50"/>
      <c r="F20" s="50"/>
      <c r="G20" s="50"/>
      <c r="H20" s="50"/>
      <c r="I20" s="50"/>
      <c r="J20" s="50"/>
    </row>
    <row r="21" spans="1:10" x14ac:dyDescent="0.2">
      <c r="A21" s="50"/>
      <c r="B21" s="50"/>
      <c r="C21" s="50"/>
      <c r="D21" s="50"/>
      <c r="E21" s="50"/>
      <c r="F21" s="50"/>
      <c r="G21" s="50"/>
      <c r="H21" s="50"/>
      <c r="I21" s="50"/>
      <c r="J21" s="50"/>
    </row>
    <row r="22" spans="1:10" x14ac:dyDescent="0.2">
      <c r="A22" s="54" t="s">
        <v>70</v>
      </c>
      <c r="B22" s="50"/>
      <c r="C22" s="50"/>
      <c r="D22" s="50"/>
      <c r="E22" s="50"/>
      <c r="F22" s="50"/>
      <c r="G22" s="50"/>
      <c r="H22" s="50"/>
      <c r="I22" s="50"/>
      <c r="J22" s="50"/>
    </row>
    <row r="23" spans="1:10" x14ac:dyDescent="0.2">
      <c r="A23" s="50"/>
      <c r="B23" s="50"/>
      <c r="C23" s="50"/>
      <c r="D23" s="50"/>
      <c r="E23" s="50"/>
      <c r="F23" s="50"/>
      <c r="G23" s="50"/>
      <c r="H23" s="50"/>
      <c r="I23" s="50"/>
      <c r="J23" s="50"/>
    </row>
    <row r="24" spans="1:10" ht="16.5" customHeight="1" x14ac:dyDescent="0.2">
      <c r="A24" s="50"/>
      <c r="B24" s="50"/>
      <c r="C24" s="50"/>
      <c r="D24" s="50"/>
      <c r="E24" s="50"/>
      <c r="F24" s="50"/>
      <c r="G24" s="50"/>
      <c r="H24" s="50"/>
      <c r="I24" s="50"/>
      <c r="J24" s="50"/>
    </row>
    <row r="25" spans="1:10" x14ac:dyDescent="0.2">
      <c r="A25" s="55"/>
      <c r="B25" s="50"/>
      <c r="C25" s="50"/>
      <c r="D25" s="50"/>
      <c r="E25" s="50"/>
      <c r="F25" s="50"/>
      <c r="G25" s="50"/>
      <c r="H25" s="50"/>
      <c r="I25" s="50"/>
      <c r="J25" s="50"/>
    </row>
    <row r="26" spans="1:10" x14ac:dyDescent="0.2">
      <c r="A26" s="56"/>
      <c r="B26" s="50"/>
      <c r="C26" s="50"/>
      <c r="D26" s="50"/>
      <c r="E26" s="50"/>
      <c r="F26" s="50"/>
      <c r="G26" s="50"/>
      <c r="H26" s="50"/>
      <c r="I26" s="50"/>
      <c r="J26" s="50"/>
    </row>
    <row r="27" spans="1:10" ht="14.5" customHeight="1" x14ac:dyDescent="0.2">
      <c r="A27" s="56"/>
      <c r="B27" s="50"/>
      <c r="C27" s="50"/>
      <c r="D27" s="50"/>
      <c r="E27" s="50"/>
      <c r="F27" s="50"/>
      <c r="G27" s="50"/>
      <c r="H27" s="50"/>
      <c r="I27" s="50"/>
      <c r="J27" s="50"/>
    </row>
    <row r="28" spans="1:10" ht="14.5" customHeight="1" x14ac:dyDescent="0.2">
      <c r="A28" s="56"/>
      <c r="B28" s="50"/>
      <c r="C28" s="50"/>
      <c r="D28" s="50"/>
      <c r="E28" s="50"/>
      <c r="F28" s="50"/>
      <c r="G28" s="50"/>
      <c r="H28" s="50"/>
      <c r="I28" s="50"/>
      <c r="J28" s="50"/>
    </row>
    <row r="29" spans="1:10" ht="14.5" customHeight="1" x14ac:dyDescent="0.2">
      <c r="A29" s="56"/>
      <c r="B29" s="50"/>
      <c r="C29" s="50"/>
      <c r="D29" s="50"/>
      <c r="E29" s="50"/>
      <c r="F29" s="50"/>
      <c r="G29" s="50"/>
      <c r="H29" s="50"/>
      <c r="I29" s="50"/>
      <c r="J29" s="50"/>
    </row>
    <row r="30" spans="1:10" x14ac:dyDescent="0.2">
      <c r="A30" s="50"/>
      <c r="B30" s="50"/>
      <c r="C30" s="50"/>
      <c r="D30" s="50"/>
      <c r="E30" s="50"/>
      <c r="F30" s="50"/>
      <c r="G30" s="50"/>
      <c r="H30" s="50"/>
      <c r="I30" s="50"/>
      <c r="J30" s="50"/>
    </row>
    <row r="31" spans="1:10" x14ac:dyDescent="0.2">
      <c r="A31" s="50"/>
      <c r="B31" s="50"/>
      <c r="C31" s="50"/>
      <c r="D31" s="50"/>
      <c r="E31" s="50"/>
      <c r="F31" s="50"/>
      <c r="G31" s="50"/>
      <c r="H31" s="50"/>
      <c r="I31" s="50"/>
      <c r="J31" s="50"/>
    </row>
    <row r="32" spans="1:10" ht="14.5" customHeight="1" x14ac:dyDescent="0.2">
      <c r="A32" s="50"/>
      <c r="B32" s="50"/>
      <c r="C32" s="50"/>
      <c r="D32" s="50"/>
      <c r="E32" s="50"/>
      <c r="F32" s="50"/>
      <c r="G32" s="50"/>
      <c r="H32" s="50"/>
      <c r="I32" s="50"/>
      <c r="J32" s="50"/>
    </row>
    <row r="33" spans="1:10" ht="14.5" customHeight="1" x14ac:dyDescent="0.2">
      <c r="A33" s="50"/>
      <c r="B33" s="50"/>
      <c r="C33" s="50"/>
      <c r="D33" s="50"/>
      <c r="E33" s="50"/>
      <c r="F33" s="50"/>
      <c r="G33" s="50"/>
      <c r="H33" s="50"/>
      <c r="I33" s="50"/>
      <c r="J33" s="50"/>
    </row>
    <row r="34" spans="1:10" x14ac:dyDescent="0.2">
      <c r="A34" s="50"/>
      <c r="B34" s="50"/>
      <c r="C34" s="50"/>
      <c r="D34" s="50"/>
      <c r="E34" s="50"/>
      <c r="F34" s="50"/>
      <c r="G34" s="50"/>
      <c r="H34" s="50"/>
      <c r="I34" s="50"/>
      <c r="J34" s="50"/>
    </row>
    <row r="35" spans="1:10" x14ac:dyDescent="0.2">
      <c r="A35" s="50"/>
      <c r="B35" s="50"/>
      <c r="C35" s="50"/>
      <c r="D35" s="50"/>
      <c r="E35" s="50"/>
      <c r="F35" s="50"/>
      <c r="G35" s="50"/>
      <c r="H35" s="50"/>
      <c r="I35" s="50"/>
      <c r="J35" s="50"/>
    </row>
    <row r="36" spans="1:10" x14ac:dyDescent="0.2">
      <c r="A36" s="50"/>
      <c r="B36" s="50"/>
      <c r="C36" s="50"/>
      <c r="D36" s="50"/>
      <c r="E36" s="50"/>
      <c r="F36" s="50"/>
      <c r="G36" s="50"/>
      <c r="H36" s="50"/>
      <c r="I36" s="50"/>
      <c r="J36" s="50"/>
    </row>
    <row r="37" spans="1:10" x14ac:dyDescent="0.2">
      <c r="A37" s="50"/>
      <c r="B37" s="50"/>
      <c r="C37" s="50"/>
      <c r="D37" s="50"/>
      <c r="E37" s="50"/>
      <c r="F37" s="50"/>
      <c r="G37" s="50"/>
      <c r="H37" s="50"/>
      <c r="I37" s="50"/>
      <c r="J37" s="50"/>
    </row>
    <row r="38" spans="1:10" x14ac:dyDescent="0.2">
      <c r="A38" s="50"/>
      <c r="B38" s="50"/>
      <c r="C38" s="50"/>
      <c r="D38" s="50"/>
      <c r="E38" s="50"/>
      <c r="F38" s="50"/>
      <c r="G38" s="50"/>
      <c r="H38" s="50"/>
      <c r="I38" s="50"/>
      <c r="J38" s="50"/>
    </row>
    <row r="39" spans="1:10" x14ac:dyDescent="0.2">
      <c r="A39" s="50"/>
      <c r="B39" s="50"/>
      <c r="C39" s="50"/>
      <c r="D39" s="50"/>
      <c r="E39" s="50"/>
      <c r="F39" s="50"/>
      <c r="G39" s="50"/>
      <c r="H39" s="50"/>
      <c r="I39" s="50"/>
      <c r="J39" s="50"/>
    </row>
    <row r="40" spans="1:10" x14ac:dyDescent="0.2">
      <c r="A40" s="50"/>
      <c r="B40" s="50"/>
      <c r="C40" s="50"/>
      <c r="D40" s="50"/>
      <c r="E40" s="50"/>
      <c r="F40" s="50"/>
      <c r="G40" s="50"/>
      <c r="H40" s="50"/>
      <c r="I40" s="50"/>
      <c r="J40" s="50"/>
    </row>
    <row r="41" spans="1:10" x14ac:dyDescent="0.2">
      <c r="A41" s="50"/>
      <c r="B41" s="50"/>
      <c r="C41" s="50"/>
      <c r="D41" s="50"/>
      <c r="E41" s="50"/>
      <c r="F41" s="50"/>
      <c r="G41" s="50"/>
      <c r="H41" s="50"/>
      <c r="I41" s="50"/>
      <c r="J41" s="50"/>
    </row>
    <row r="42" spans="1:10" x14ac:dyDescent="0.2">
      <c r="A42" s="50"/>
      <c r="B42" s="50"/>
      <c r="C42" s="50"/>
      <c r="D42" s="50"/>
      <c r="E42" s="50"/>
      <c r="F42" s="50"/>
      <c r="G42" s="50"/>
      <c r="H42" s="50"/>
      <c r="I42" s="50"/>
      <c r="J42" s="50"/>
    </row>
    <row r="43" spans="1:10" x14ac:dyDescent="0.2">
      <c r="A43" s="50"/>
      <c r="B43" s="50"/>
      <c r="C43" s="50"/>
      <c r="D43" s="50"/>
      <c r="E43" s="50"/>
      <c r="F43" s="50"/>
      <c r="G43" s="50"/>
      <c r="H43" s="50"/>
      <c r="I43" s="50"/>
      <c r="J43" s="50"/>
    </row>
    <row r="44" spans="1:10" x14ac:dyDescent="0.2">
      <c r="A44" s="50"/>
      <c r="B44" s="50"/>
      <c r="C44" s="50"/>
      <c r="D44" s="50"/>
      <c r="E44" s="50"/>
      <c r="F44" s="50"/>
      <c r="G44" s="50"/>
      <c r="H44" s="50"/>
      <c r="I44" s="50"/>
      <c r="J44" s="50"/>
    </row>
    <row r="45" spans="1:10" x14ac:dyDescent="0.2">
      <c r="A45" s="50"/>
      <c r="B45" s="50"/>
      <c r="C45" s="50"/>
      <c r="D45" s="50"/>
      <c r="E45" s="50"/>
      <c r="F45" s="50"/>
      <c r="G45" s="50"/>
      <c r="H45" s="50"/>
      <c r="I45" s="50"/>
      <c r="J45" s="50"/>
    </row>
    <row r="46" spans="1:10" x14ac:dyDescent="0.2">
      <c r="A46" s="50"/>
      <c r="B46" s="50"/>
      <c r="C46" s="50"/>
      <c r="D46" s="50"/>
      <c r="E46" s="50"/>
      <c r="F46" s="50"/>
      <c r="G46" s="50"/>
      <c r="H46" s="50"/>
      <c r="I46" s="50"/>
      <c r="J46" s="50"/>
    </row>
    <row r="47" spans="1:10" x14ac:dyDescent="0.2">
      <c r="A47" s="50"/>
      <c r="B47" s="50"/>
      <c r="C47" s="50"/>
      <c r="D47" s="50"/>
      <c r="E47" s="50"/>
      <c r="F47" s="50"/>
      <c r="G47" s="50"/>
      <c r="H47" s="50"/>
      <c r="I47" s="50"/>
      <c r="J47" s="50"/>
    </row>
    <row r="48" spans="1:10" x14ac:dyDescent="0.2">
      <c r="A48" s="50"/>
      <c r="B48" s="50"/>
      <c r="C48" s="50"/>
      <c r="D48" s="50"/>
      <c r="E48" s="50"/>
      <c r="F48" s="50"/>
      <c r="G48" s="50"/>
      <c r="H48" s="50"/>
      <c r="I48" s="50"/>
      <c r="J48" s="50"/>
    </row>
    <row r="49" spans="1:10" x14ac:dyDescent="0.2">
      <c r="A49" s="50"/>
      <c r="B49" s="50"/>
      <c r="C49" s="50"/>
      <c r="D49" s="50"/>
      <c r="E49" s="50"/>
      <c r="F49" s="50"/>
      <c r="G49" s="50"/>
      <c r="H49" s="50"/>
      <c r="I49" s="50"/>
      <c r="J49" s="50"/>
    </row>
    <row r="50" spans="1:10" x14ac:dyDescent="0.2">
      <c r="A50" s="50"/>
      <c r="B50" s="50"/>
      <c r="C50" s="50"/>
      <c r="D50" s="50"/>
      <c r="E50" s="50"/>
      <c r="F50" s="50"/>
      <c r="G50" s="50"/>
      <c r="H50" s="50"/>
      <c r="I50" s="50"/>
      <c r="J50" s="50"/>
    </row>
    <row r="51" spans="1:10" x14ac:dyDescent="0.2">
      <c r="A51" s="57"/>
      <c r="B51" s="50"/>
      <c r="C51" s="50"/>
      <c r="D51" s="50"/>
      <c r="E51" s="50"/>
      <c r="F51" s="50"/>
      <c r="G51" s="50"/>
      <c r="H51" s="50"/>
      <c r="I51" s="50"/>
      <c r="J51" s="57">
        <v>1</v>
      </c>
    </row>
    <row r="52" spans="1:10" x14ac:dyDescent="0.2">
      <c r="A52" s="57"/>
      <c r="B52" s="50"/>
      <c r="C52" s="50"/>
      <c r="D52" s="50"/>
      <c r="E52" s="50"/>
      <c r="F52" s="50"/>
      <c r="G52" s="50"/>
      <c r="H52" s="50"/>
      <c r="I52" s="50"/>
    </row>
    <row r="53" spans="1:10" x14ac:dyDescent="0.2">
      <c r="A53" s="50"/>
      <c r="B53" s="50"/>
      <c r="C53" s="50"/>
      <c r="D53" s="50"/>
      <c r="E53" s="50"/>
      <c r="F53" s="50"/>
      <c r="G53" s="50"/>
      <c r="H53" s="50"/>
      <c r="I53" s="50"/>
      <c r="J53" s="50"/>
    </row>
    <row r="54" spans="1:10" x14ac:dyDescent="0.2">
      <c r="A54" s="50"/>
      <c r="B54" s="50"/>
      <c r="C54" s="50"/>
      <c r="D54" s="50"/>
      <c r="E54" s="50"/>
      <c r="F54" s="50"/>
      <c r="G54" s="50"/>
      <c r="H54" s="50"/>
      <c r="I54" s="50"/>
      <c r="J54" s="50"/>
    </row>
    <row r="55" spans="1:10" x14ac:dyDescent="0.2">
      <c r="A55" s="50"/>
      <c r="B55" s="50"/>
      <c r="C55" s="50"/>
      <c r="D55" s="50"/>
      <c r="E55" s="50"/>
      <c r="F55" s="50"/>
      <c r="G55" s="50"/>
      <c r="H55" s="50"/>
      <c r="I55" s="50"/>
      <c r="J55" s="50"/>
    </row>
    <row r="56" spans="1:10" x14ac:dyDescent="0.2">
      <c r="A56" s="50"/>
      <c r="B56" s="50"/>
      <c r="C56" s="50"/>
      <c r="D56" s="50"/>
      <c r="E56" s="50"/>
      <c r="F56" s="50"/>
      <c r="G56" s="50"/>
      <c r="H56" s="50"/>
      <c r="I56" s="50"/>
      <c r="J56" s="50"/>
    </row>
    <row r="57" spans="1:10" x14ac:dyDescent="0.2">
      <c r="A57" s="50"/>
      <c r="B57" s="50"/>
      <c r="C57" s="50"/>
      <c r="D57" s="50"/>
      <c r="E57" s="50"/>
      <c r="F57" s="50"/>
      <c r="G57" s="50"/>
      <c r="H57" s="50"/>
      <c r="I57" s="50"/>
      <c r="J57" s="50"/>
    </row>
    <row r="58" spans="1:10" x14ac:dyDescent="0.2">
      <c r="A58" s="46" t="str">
        <f ca="1">"Nomor Ilustrasi : IP"&amp;UPPER(LEFT(FC_Name,1))&amp;UPPER(LEFT(Office,1)&amp;"-"&amp;TODAY()&amp;"-"&amp;(ROUND(NOW()-TODAY(),5))*100000)</f>
        <v>Nomor Ilustrasi : IPTJ-43386-57144</v>
      </c>
      <c r="B58" s="50"/>
      <c r="C58" s="50"/>
      <c r="D58" s="50"/>
      <c r="E58" s="50"/>
      <c r="F58" s="50"/>
      <c r="G58" s="50"/>
      <c r="H58" s="50"/>
      <c r="I58" s="50"/>
      <c r="J58" s="50"/>
    </row>
    <row r="59" spans="1:10" x14ac:dyDescent="0.2">
      <c r="A59" s="50"/>
      <c r="B59" s="50"/>
      <c r="C59" s="50"/>
      <c r="D59" s="50"/>
      <c r="E59" s="50"/>
      <c r="F59" s="50"/>
      <c r="G59" s="50"/>
      <c r="H59" s="50"/>
      <c r="I59" s="50"/>
      <c r="J59" s="50"/>
    </row>
    <row r="60" spans="1:10" x14ac:dyDescent="0.2">
      <c r="A60" s="51" t="s">
        <v>71</v>
      </c>
      <c r="B60" s="50"/>
      <c r="C60" s="50"/>
      <c r="D60" s="50"/>
      <c r="E60" s="50"/>
      <c r="F60" s="50"/>
      <c r="G60" s="50"/>
      <c r="H60" s="50"/>
      <c r="I60" s="50"/>
      <c r="J60" s="50"/>
    </row>
    <row r="61" spans="1:10" x14ac:dyDescent="0.2">
      <c r="A61" s="50"/>
      <c r="B61" s="50"/>
      <c r="C61" s="50"/>
      <c r="D61" s="50"/>
      <c r="E61" s="50"/>
      <c r="F61" s="50"/>
      <c r="G61" s="50"/>
      <c r="H61" s="58" t="s">
        <v>79</v>
      </c>
      <c r="J61" s="50"/>
    </row>
    <row r="62" spans="1:10" ht="16.5" customHeight="1" x14ac:dyDescent="0.2">
      <c r="A62" s="92" t="s">
        <v>72</v>
      </c>
      <c r="B62" s="92"/>
      <c r="C62" s="92" t="s">
        <v>52</v>
      </c>
      <c r="D62" s="92" t="s">
        <v>59</v>
      </c>
      <c r="E62" s="92" t="s">
        <v>60</v>
      </c>
      <c r="F62" s="92" t="s">
        <v>73</v>
      </c>
      <c r="G62" s="92" t="s">
        <v>74</v>
      </c>
      <c r="H62" s="92"/>
      <c r="I62" s="92" t="s">
        <v>78</v>
      </c>
      <c r="J62" s="92"/>
    </row>
    <row r="63" spans="1:10" ht="23.25" customHeight="1" x14ac:dyDescent="0.2">
      <c r="A63" s="92"/>
      <c r="B63" s="92"/>
      <c r="C63" s="92"/>
      <c r="D63" s="92"/>
      <c r="E63" s="92"/>
      <c r="F63" s="92"/>
      <c r="G63" s="92"/>
      <c r="H63" s="92"/>
      <c r="I63" s="92"/>
      <c r="J63" s="92"/>
    </row>
    <row r="64" spans="1:10" ht="14.5" customHeight="1" x14ac:dyDescent="0.2">
      <c r="A64" s="92"/>
      <c r="B64" s="92"/>
      <c r="C64" s="92"/>
      <c r="D64" s="92"/>
      <c r="E64" s="92"/>
      <c r="F64" s="92"/>
      <c r="G64" s="92"/>
      <c r="H64" s="92"/>
      <c r="I64" s="92"/>
      <c r="J64" s="92"/>
    </row>
    <row r="65" spans="1:10" ht="14.5" customHeight="1" x14ac:dyDescent="0.2">
      <c r="A65" s="92"/>
      <c r="B65" s="92"/>
      <c r="C65" s="92"/>
      <c r="D65" s="92"/>
      <c r="E65" s="92"/>
      <c r="F65" s="92"/>
      <c r="G65" s="92"/>
      <c r="H65" s="92"/>
      <c r="I65" s="92"/>
      <c r="J65" s="92"/>
    </row>
    <row r="66" spans="1:10" ht="14.5" customHeight="1" x14ac:dyDescent="0.2">
      <c r="A66" s="88">
        <v>1</v>
      </c>
      <c r="B66" s="88"/>
      <c r="C66" s="47">
        <f ca="1">In_Age+A66</f>
        <v>1</v>
      </c>
      <c r="D66" s="59" t="str">
        <f>SUBSTITUTE(TEXT(Single_Prem,"#,#0"),",",".")</f>
        <v>12.000.000</v>
      </c>
      <c r="E66" s="59" t="str">
        <f>SUBSTITUTE(TEXT(STU,"#,#0"),",",".")</f>
        <v>988.000.000</v>
      </c>
      <c r="F66" s="60" t="s">
        <v>75</v>
      </c>
      <c r="G66" s="91" t="str">
        <f>SUBSTITUTE(TEXT('For Output'!F23,"#,#0"),",",".")</f>
        <v>80.000.000</v>
      </c>
      <c r="H66" s="91"/>
      <c r="I66" s="91" t="str">
        <f>SUBSTITUTE(TEXT('For Output'!G23,"#,#0"),",",".")</f>
        <v>100.000.000</v>
      </c>
      <c r="J66" s="91"/>
    </row>
    <row r="67" spans="1:10" ht="14.5" customHeight="1" x14ac:dyDescent="0.2">
      <c r="A67" s="88">
        <v>2</v>
      </c>
      <c r="B67" s="88"/>
      <c r="C67" s="47">
        <f ca="1">In_Age+A67</f>
        <v>2</v>
      </c>
      <c r="D67" s="61">
        <v>0</v>
      </c>
      <c r="E67" s="61">
        <v>0</v>
      </c>
      <c r="F67" s="60" t="s">
        <v>75</v>
      </c>
      <c r="G67" s="91" t="str">
        <f>SUBSTITUTE(TEXT('For Output'!F24,"#,#0"),",",".")</f>
        <v>80.000.000</v>
      </c>
      <c r="H67" s="91"/>
      <c r="I67" s="91" t="str">
        <f>SUBSTITUTE(TEXT('For Output'!G24,"#,#0"),",",".")</f>
        <v>0</v>
      </c>
      <c r="J67" s="91"/>
    </row>
    <row r="68" spans="1:10" x14ac:dyDescent="0.2">
      <c r="A68" s="88">
        <v>3</v>
      </c>
      <c r="B68" s="88"/>
      <c r="C68" s="47">
        <f ca="1">In_Age+A68</f>
        <v>3</v>
      </c>
      <c r="D68" s="61">
        <v>0</v>
      </c>
      <c r="E68" s="61">
        <v>0</v>
      </c>
      <c r="F68" s="60" t="s">
        <v>76</v>
      </c>
      <c r="G68" s="91" t="str">
        <f>SUBSTITUTE(TEXT('For Output'!F25,"#,#0"),",",".")</f>
        <v>80.000.000</v>
      </c>
      <c r="H68" s="91"/>
      <c r="I68" s="91" t="str">
        <f>SUBSTITUTE(TEXT('For Output'!G25,"#,#0"),",",".")</f>
        <v>400.000.000</v>
      </c>
      <c r="J68" s="91"/>
    </row>
    <row r="69" spans="1:10" x14ac:dyDescent="0.2">
      <c r="A69" s="88">
        <v>4</v>
      </c>
      <c r="B69" s="88"/>
      <c r="C69" s="47">
        <f ca="1">In_Age+A69</f>
        <v>4</v>
      </c>
      <c r="D69" s="61">
        <v>0</v>
      </c>
      <c r="E69" s="61">
        <v>0</v>
      </c>
      <c r="F69" s="60" t="s">
        <v>76</v>
      </c>
      <c r="G69" s="91" t="str">
        <f>SUBSTITUTE(TEXT('For Output'!F26,"#,#0"),",",".")</f>
        <v>50.000.000</v>
      </c>
      <c r="H69" s="91"/>
      <c r="I69" s="91" t="str">
        <f>SUBSTITUTE(TEXT('For Output'!G26,"#,#0"),",",".")</f>
        <v>0</v>
      </c>
      <c r="J69" s="91"/>
    </row>
    <row r="70" spans="1:10" x14ac:dyDescent="0.2">
      <c r="A70" s="88">
        <v>5</v>
      </c>
      <c r="B70" s="88"/>
      <c r="C70" s="47">
        <f ca="1">In_Age+A70</f>
        <v>5</v>
      </c>
      <c r="D70" s="61">
        <v>0</v>
      </c>
      <c r="E70" s="61">
        <v>0</v>
      </c>
      <c r="F70" s="60" t="s">
        <v>77</v>
      </c>
      <c r="G70" s="91" t="str">
        <f>SUBSTITUTE(TEXT('For Output'!F27,"#,#0"),",",".")</f>
        <v>50.000.000</v>
      </c>
      <c r="H70" s="91"/>
      <c r="I70" s="91" t="str">
        <f>SUBSTITUTE(TEXT('For Output'!G27,"#,#0"),",",".")</f>
        <v>500.000.000</v>
      </c>
      <c r="J70" s="91"/>
    </row>
    <row r="71" spans="1:10" ht="16.5" customHeight="1" x14ac:dyDescent="0.2">
      <c r="A71" s="94" t="s">
        <v>86</v>
      </c>
      <c r="B71" s="94"/>
      <c r="C71" s="94"/>
      <c r="D71" s="94"/>
      <c r="E71" s="94"/>
      <c r="F71" s="94"/>
      <c r="G71" s="94" t="str">
        <f>SUBSTITUTE(TEXT('For Output'!G28,"#,#0"),",",".")</f>
        <v>1.340.000.000</v>
      </c>
      <c r="H71" s="94"/>
      <c r="I71" s="94"/>
      <c r="J71" s="94"/>
    </row>
    <row r="72" spans="1:10" ht="15" customHeight="1" x14ac:dyDescent="0.2">
      <c r="A72" s="50"/>
      <c r="B72" s="50"/>
      <c r="C72" s="50"/>
      <c r="D72" s="50"/>
      <c r="E72" s="50"/>
      <c r="F72" s="50"/>
      <c r="G72" s="50"/>
      <c r="H72" s="50"/>
      <c r="I72" s="50"/>
      <c r="J72" s="50"/>
    </row>
    <row r="73" spans="1:10" ht="16.5" customHeight="1" x14ac:dyDescent="0.2">
      <c r="A73" s="49" t="s">
        <v>114</v>
      </c>
      <c r="B73" s="49"/>
      <c r="C73" s="49"/>
      <c r="D73" s="49"/>
      <c r="E73" s="49"/>
      <c r="F73" s="49"/>
      <c r="G73" s="49"/>
      <c r="H73" s="49"/>
      <c r="I73" s="49"/>
      <c r="J73" s="49"/>
    </row>
    <row r="74" spans="1:10" ht="16.5" customHeight="1" x14ac:dyDescent="0.2">
      <c r="A74" s="49"/>
      <c r="B74" s="49"/>
      <c r="C74" s="49"/>
      <c r="D74" s="49"/>
      <c r="E74" s="49"/>
      <c r="F74" s="49"/>
      <c r="G74" s="49"/>
      <c r="H74" s="49"/>
      <c r="I74" s="49"/>
      <c r="J74" s="49"/>
    </row>
    <row r="75" spans="1:10" ht="14.5" customHeight="1" x14ac:dyDescent="0.2">
      <c r="A75" s="49"/>
      <c r="B75" s="49"/>
      <c r="C75" s="49"/>
      <c r="D75" s="49"/>
      <c r="E75" s="49"/>
      <c r="F75" s="49"/>
      <c r="G75" s="49"/>
      <c r="H75" s="49"/>
      <c r="I75" s="49"/>
      <c r="J75" s="49"/>
    </row>
    <row r="76" spans="1:10" x14ac:dyDescent="0.2">
      <c r="A76" s="49"/>
      <c r="B76" s="49"/>
      <c r="C76" s="49"/>
      <c r="D76" s="49"/>
      <c r="E76" s="49"/>
      <c r="F76" s="49"/>
      <c r="G76" s="49"/>
      <c r="H76" s="49"/>
      <c r="I76" s="49"/>
      <c r="J76" s="49"/>
    </row>
    <row r="77" spans="1:10" x14ac:dyDescent="0.2">
      <c r="A77" s="49"/>
      <c r="B77" s="49"/>
      <c r="C77" s="49"/>
      <c r="D77" s="49"/>
      <c r="E77" s="49"/>
      <c r="F77" s="49"/>
      <c r="G77" s="49"/>
      <c r="H77" s="49"/>
      <c r="I77" s="49"/>
      <c r="J77" s="49"/>
    </row>
    <row r="78" spans="1:10" ht="18.75" customHeight="1" x14ac:dyDescent="0.2">
      <c r="A78" s="50"/>
      <c r="B78" s="50"/>
      <c r="C78" s="50"/>
      <c r="D78" s="50"/>
      <c r="E78" s="50"/>
      <c r="F78" s="50"/>
      <c r="G78" s="50"/>
      <c r="H78" s="50"/>
      <c r="I78" s="50"/>
      <c r="J78" s="50"/>
    </row>
    <row r="79" spans="1:10" ht="18.75" customHeight="1" x14ac:dyDescent="0.2">
      <c r="A79" s="51" t="s">
        <v>87</v>
      </c>
      <c r="B79" s="50"/>
      <c r="C79" s="50"/>
      <c r="D79" s="50"/>
      <c r="E79" s="50"/>
      <c r="F79" s="50"/>
      <c r="G79" s="50"/>
      <c r="H79" s="50"/>
      <c r="I79" s="50"/>
      <c r="J79" s="50"/>
    </row>
    <row r="80" spans="1:10" ht="18.75" customHeight="1" x14ac:dyDescent="0.2">
      <c r="A80" s="50"/>
      <c r="B80" s="50"/>
      <c r="C80" s="50"/>
      <c r="D80" s="50"/>
      <c r="E80" s="50"/>
      <c r="F80" s="50"/>
      <c r="H80" s="58" t="s">
        <v>79</v>
      </c>
      <c r="I80" s="50"/>
      <c r="J80" s="50"/>
    </row>
    <row r="81" spans="1:10" x14ac:dyDescent="0.2">
      <c r="A81" s="92" t="s">
        <v>72</v>
      </c>
      <c r="B81" s="92"/>
      <c r="C81" s="86" t="s">
        <v>52</v>
      </c>
      <c r="D81" s="92" t="s">
        <v>88</v>
      </c>
      <c r="E81" s="92"/>
      <c r="F81" s="92" t="s">
        <v>90</v>
      </c>
      <c r="G81" s="92"/>
      <c r="H81" s="92" t="s">
        <v>93</v>
      </c>
      <c r="I81" s="92"/>
      <c r="J81" s="50"/>
    </row>
    <row r="82" spans="1:10" x14ac:dyDescent="0.2">
      <c r="A82" s="92"/>
      <c r="B82" s="92"/>
      <c r="C82" s="93"/>
      <c r="D82" s="92"/>
      <c r="E82" s="92"/>
      <c r="F82" s="92"/>
      <c r="G82" s="92"/>
      <c r="H82" s="92"/>
      <c r="I82" s="92"/>
      <c r="J82" s="50"/>
    </row>
    <row r="83" spans="1:10" ht="14" customHeight="1" x14ac:dyDescent="0.2">
      <c r="A83" s="92"/>
      <c r="B83" s="92"/>
      <c r="C83" s="87"/>
      <c r="D83" s="92"/>
      <c r="E83" s="92"/>
      <c r="F83" s="92"/>
      <c r="G83" s="92"/>
      <c r="H83" s="92"/>
      <c r="I83" s="92"/>
      <c r="J83" s="50"/>
    </row>
    <row r="84" spans="1:10" x14ac:dyDescent="0.2">
      <c r="A84" s="88">
        <v>1</v>
      </c>
      <c r="B84" s="88"/>
      <c r="C84" s="47">
        <f ca="1">In_Age+A84</f>
        <v>1</v>
      </c>
      <c r="D84" s="91" t="str">
        <f>SUBSTITUTE(TEXT('For Output'!C24,"#,#0"),",",".")</f>
        <v>900.000.000</v>
      </c>
      <c r="E84" s="91"/>
      <c r="F84" s="91" t="str">
        <f>SUBSTITUTE(TEXT('For Output'!H23,"#,#0"),",",".")</f>
        <v>915.000.000</v>
      </c>
      <c r="G84" s="91"/>
      <c r="H84" s="91" t="str">
        <f>SUBSTITUTE(TEXT('For Output'!J23,"#,#0"),",",".")</f>
        <v>720.000.000</v>
      </c>
      <c r="I84" s="91"/>
      <c r="J84" s="50"/>
    </row>
    <row r="85" spans="1:10" x14ac:dyDescent="0.2">
      <c r="A85" s="88">
        <v>2</v>
      </c>
      <c r="B85" s="88"/>
      <c r="C85" s="47">
        <f ca="1">In_Age+A85</f>
        <v>2</v>
      </c>
      <c r="D85" s="91" t="str">
        <f>SUBSTITUTE(TEXT('For Output'!C25,"#,#0"),",",".")</f>
        <v>900.000.000</v>
      </c>
      <c r="E85" s="91"/>
      <c r="F85" s="91" t="str">
        <f>SUBSTITUTE(TEXT('For Output'!H24,"#,#0"),",",".")</f>
        <v>915.000.000</v>
      </c>
      <c r="G85" s="91"/>
      <c r="H85" s="91" t="str">
        <f>SUBSTITUTE(TEXT('For Output'!J24,"#,#0"),",",".")</f>
        <v>765.000.000</v>
      </c>
      <c r="I85" s="91"/>
      <c r="J85" s="50"/>
    </row>
    <row r="86" spans="1:10" x14ac:dyDescent="0.2">
      <c r="A86" s="88">
        <v>3</v>
      </c>
      <c r="B86" s="88"/>
      <c r="C86" s="47">
        <f ca="1">In_Age+A86</f>
        <v>3</v>
      </c>
      <c r="D86" s="91" t="str">
        <f>SUBSTITUTE(TEXT('For Output'!C26,"#,#0"),",",".")</f>
        <v>500.000.000</v>
      </c>
      <c r="E86" s="91"/>
      <c r="F86" s="91" t="str">
        <f>SUBSTITUTE(TEXT('For Output'!H25,"#,#0"),",",".")</f>
        <v>515.000.000</v>
      </c>
      <c r="G86" s="91"/>
      <c r="H86" s="91" t="str">
        <f>SUBSTITUTE(TEXT('For Output'!J25,"#,#0"),",",".")</f>
        <v>425.000.000</v>
      </c>
      <c r="I86" s="91"/>
      <c r="J86" s="50"/>
    </row>
    <row r="87" spans="1:10" x14ac:dyDescent="0.2">
      <c r="A87" s="88">
        <v>4</v>
      </c>
      <c r="B87" s="88"/>
      <c r="C87" s="47">
        <f ca="1">In_Age+A87</f>
        <v>4</v>
      </c>
      <c r="D87" s="91" t="str">
        <f>SUBSTITUTE(TEXT('For Output'!C27,"#,#0"),",",".")</f>
        <v>500.000.000</v>
      </c>
      <c r="E87" s="91"/>
      <c r="F87" s="91" t="str">
        <f>SUBSTITUTE(TEXT('For Output'!H26,"#,#0"),",",".")</f>
        <v>515.000.000</v>
      </c>
      <c r="G87" s="91"/>
      <c r="H87" s="91" t="str">
        <f>SUBSTITUTE(TEXT('For Output'!J26,"#,#0"),",",".")</f>
        <v>425.000.000</v>
      </c>
      <c r="I87" s="91"/>
      <c r="J87" s="50"/>
    </row>
    <row r="88" spans="1:10" x14ac:dyDescent="0.2">
      <c r="A88" s="88">
        <v>5</v>
      </c>
      <c r="B88" s="88"/>
      <c r="C88" s="47">
        <f ca="1">In_Age+A88</f>
        <v>5</v>
      </c>
      <c r="D88" s="91">
        <v>0</v>
      </c>
      <c r="E88" s="91"/>
      <c r="F88" s="91" t="str">
        <f>SUBSTITUTE(TEXT('For Output'!H27,"#,#0"),",",".")</f>
        <v>0</v>
      </c>
      <c r="G88" s="91"/>
      <c r="H88" s="91" t="str">
        <f>SUBSTITUTE(TEXT('For Output'!J27,"#,#0"),",",".")</f>
        <v>0</v>
      </c>
      <c r="I88" s="91"/>
      <c r="J88" s="50"/>
    </row>
    <row r="89" spans="1:10" x14ac:dyDescent="0.2">
      <c r="A89" s="50"/>
      <c r="B89" s="50"/>
      <c r="C89" s="50"/>
      <c r="D89" s="50"/>
      <c r="E89" s="50"/>
      <c r="F89" s="50"/>
      <c r="G89" s="50"/>
      <c r="H89" s="50"/>
      <c r="I89" s="50"/>
      <c r="J89" s="50"/>
    </row>
    <row r="90" spans="1:10" ht="13.5" customHeight="1" x14ac:dyDescent="0.2">
      <c r="A90" s="46" t="s">
        <v>112</v>
      </c>
      <c r="B90" s="50"/>
      <c r="C90" s="50"/>
      <c r="D90" s="50"/>
      <c r="E90" s="50"/>
      <c r="F90" s="50"/>
      <c r="G90" s="50"/>
      <c r="H90" s="50"/>
      <c r="I90" s="50"/>
      <c r="J90" s="50"/>
    </row>
    <row r="91" spans="1:10" ht="13.5" customHeight="1" x14ac:dyDescent="0.2">
      <c r="A91" s="46" t="s">
        <v>110</v>
      </c>
      <c r="B91" s="50"/>
      <c r="C91" s="50"/>
      <c r="D91" s="50"/>
      <c r="E91" s="50"/>
      <c r="F91" s="50"/>
      <c r="G91" s="50"/>
      <c r="H91" s="50"/>
      <c r="I91" s="50"/>
      <c r="J91" s="50"/>
    </row>
    <row r="92" spans="1:10" ht="13.5" customHeight="1" x14ac:dyDescent="0.2">
      <c r="A92" s="46" t="s">
        <v>111</v>
      </c>
      <c r="B92" s="50"/>
      <c r="C92" s="50"/>
      <c r="D92" s="50"/>
      <c r="E92" s="50"/>
      <c r="F92" s="50"/>
      <c r="G92" s="50"/>
      <c r="H92" s="50"/>
      <c r="I92" s="50"/>
      <c r="J92" s="50"/>
    </row>
    <row r="93" spans="1:10" x14ac:dyDescent="0.2">
      <c r="A93" s="50"/>
      <c r="B93" s="50"/>
      <c r="C93" s="50"/>
      <c r="D93" s="50"/>
      <c r="E93" s="50"/>
      <c r="F93" s="50"/>
      <c r="G93" s="50"/>
      <c r="H93" s="50"/>
      <c r="I93" s="50"/>
      <c r="J93" s="50"/>
    </row>
    <row r="94" spans="1:10" x14ac:dyDescent="0.2">
      <c r="A94" s="50"/>
      <c r="B94" s="50"/>
      <c r="C94" s="50"/>
      <c r="D94" s="50"/>
      <c r="E94" s="50"/>
      <c r="F94" s="50"/>
      <c r="G94" s="50"/>
      <c r="H94" s="50"/>
      <c r="I94" s="50"/>
      <c r="J94" s="50"/>
    </row>
    <row r="95" spans="1:10" x14ac:dyDescent="0.2">
      <c r="A95" s="50"/>
      <c r="B95" s="50"/>
      <c r="C95" s="50"/>
      <c r="D95" s="50"/>
      <c r="E95" s="50"/>
      <c r="F95" s="50"/>
      <c r="G95" s="50"/>
      <c r="H95" s="50"/>
      <c r="I95" s="50"/>
      <c r="J95" s="50"/>
    </row>
    <row r="96" spans="1:10" x14ac:dyDescent="0.2">
      <c r="A96" s="50"/>
      <c r="B96" s="50"/>
      <c r="C96" s="50"/>
      <c r="D96" s="50"/>
      <c r="E96" s="50"/>
      <c r="F96" s="50"/>
      <c r="G96" s="50"/>
      <c r="H96" s="50"/>
      <c r="I96" s="50"/>
      <c r="J96" s="50"/>
    </row>
    <row r="97" spans="1:10" x14ac:dyDescent="0.2">
      <c r="A97" s="50"/>
      <c r="B97" s="50"/>
      <c r="C97" s="50"/>
      <c r="D97" s="50"/>
      <c r="E97" s="50"/>
      <c r="F97" s="50"/>
      <c r="G97" s="50"/>
      <c r="H97" s="50"/>
      <c r="I97" s="50"/>
      <c r="J97" s="50"/>
    </row>
    <row r="102" spans="1:10" x14ac:dyDescent="0.2">
      <c r="A102" s="50"/>
      <c r="B102" s="50"/>
      <c r="C102" s="50"/>
      <c r="D102" s="50"/>
      <c r="E102" s="50"/>
      <c r="F102" s="50"/>
      <c r="G102" s="50"/>
      <c r="H102" s="50"/>
      <c r="I102" s="50"/>
      <c r="J102" s="50"/>
    </row>
    <row r="103" spans="1:10" x14ac:dyDescent="0.2">
      <c r="A103" s="57"/>
      <c r="B103" s="50"/>
      <c r="C103" s="50"/>
      <c r="D103" s="50"/>
      <c r="E103" s="50"/>
      <c r="F103" s="50"/>
      <c r="G103" s="50"/>
      <c r="H103" s="50"/>
      <c r="I103" s="50"/>
      <c r="J103" s="43">
        <v>2</v>
      </c>
    </row>
    <row r="104" spans="1:10" x14ac:dyDescent="0.2">
      <c r="A104" s="57"/>
      <c r="B104" s="50"/>
      <c r="C104" s="50"/>
      <c r="D104" s="50"/>
      <c r="E104" s="50"/>
      <c r="F104" s="50"/>
      <c r="G104" s="50"/>
      <c r="H104" s="50"/>
      <c r="I104" s="50"/>
    </row>
    <row r="105" spans="1:10" x14ac:dyDescent="0.2">
      <c r="A105" s="50"/>
      <c r="B105" s="50"/>
      <c r="C105" s="50"/>
      <c r="D105" s="50"/>
      <c r="E105" s="50"/>
      <c r="F105" s="50"/>
      <c r="G105" s="50"/>
      <c r="H105" s="50"/>
      <c r="I105" s="50"/>
      <c r="J105" s="50"/>
    </row>
    <row r="106" spans="1:10" x14ac:dyDescent="0.2">
      <c r="A106" s="50"/>
      <c r="B106" s="50"/>
      <c r="C106" s="50"/>
      <c r="D106" s="50"/>
      <c r="E106" s="50"/>
      <c r="F106" s="50"/>
      <c r="G106" s="50"/>
      <c r="H106" s="50"/>
      <c r="I106" s="50"/>
      <c r="J106" s="50"/>
    </row>
    <row r="107" spans="1:10" x14ac:dyDescent="0.2">
      <c r="A107" s="50"/>
      <c r="B107" s="50"/>
      <c r="C107" s="50"/>
      <c r="D107" s="50"/>
      <c r="E107" s="50"/>
      <c r="F107" s="50"/>
      <c r="G107" s="50"/>
      <c r="H107" s="50"/>
      <c r="I107" s="50"/>
      <c r="J107" s="50"/>
    </row>
    <row r="108" spans="1:10" x14ac:dyDescent="0.2">
      <c r="A108" s="50"/>
      <c r="B108" s="50"/>
      <c r="C108" s="50"/>
      <c r="D108" s="50"/>
      <c r="E108" s="50"/>
      <c r="F108" s="50"/>
      <c r="G108" s="50"/>
      <c r="H108" s="50"/>
      <c r="I108" s="50"/>
      <c r="J108" s="50"/>
    </row>
    <row r="109" spans="1:10" x14ac:dyDescent="0.2">
      <c r="A109" s="46" t="str">
        <f ca="1">"Nomor Ilustrasi : IP"&amp;UPPER(LEFT(FC_Name,1))&amp;UPPER(LEFT(Office,1)&amp;"-"&amp;TODAY()&amp;"-"&amp;(ROUND(NOW()-TODAY(),5))*100000)</f>
        <v>Nomor Ilustrasi : IPTJ-43386-57144</v>
      </c>
      <c r="B109" s="50"/>
      <c r="C109" s="50"/>
      <c r="D109" s="50"/>
      <c r="E109" s="50"/>
      <c r="F109" s="50"/>
      <c r="G109" s="50"/>
      <c r="H109" s="50"/>
      <c r="I109" s="50"/>
      <c r="J109" s="50"/>
    </row>
    <row r="110" spans="1:10" x14ac:dyDescent="0.2">
      <c r="A110" s="50"/>
      <c r="C110" s="50"/>
      <c r="D110" s="50"/>
      <c r="E110" s="50"/>
      <c r="F110" s="50"/>
      <c r="G110" s="50"/>
      <c r="H110" s="50"/>
      <c r="I110" s="50"/>
      <c r="J110" s="50"/>
    </row>
    <row r="111" spans="1:10" ht="16" x14ac:dyDescent="0.2">
      <c r="A111" s="42" t="s">
        <v>122</v>
      </c>
      <c r="B111" s="50"/>
      <c r="C111" s="50"/>
      <c r="D111" s="50"/>
      <c r="E111" s="50"/>
      <c r="F111" s="50"/>
      <c r="G111" s="50"/>
      <c r="H111" s="50"/>
      <c r="I111" s="50"/>
      <c r="J111" s="50"/>
    </row>
    <row r="112" spans="1:10" x14ac:dyDescent="0.2">
      <c r="A112" s="62" t="s">
        <v>94</v>
      </c>
      <c r="B112" s="63" t="s">
        <v>130</v>
      </c>
      <c r="C112" s="50"/>
      <c r="D112" s="50"/>
      <c r="E112" s="50"/>
      <c r="F112" s="50"/>
      <c r="G112" s="50"/>
      <c r="H112" s="50"/>
      <c r="I112" s="50"/>
      <c r="J112" s="50"/>
    </row>
    <row r="113" spans="1:10" ht="11.25" customHeight="1" x14ac:dyDescent="0.2">
      <c r="A113" s="50"/>
      <c r="B113" s="88" t="s">
        <v>131</v>
      </c>
      <c r="C113" s="88"/>
      <c r="D113" s="88" t="s">
        <v>132</v>
      </c>
      <c r="E113" s="88"/>
      <c r="F113" s="50"/>
      <c r="G113" s="50"/>
      <c r="H113" s="50"/>
      <c r="I113" s="50"/>
      <c r="J113" s="50"/>
    </row>
    <row r="114" spans="1:10" ht="11.25" customHeight="1" x14ac:dyDescent="0.2">
      <c r="A114" s="50"/>
      <c r="B114" s="88"/>
      <c r="C114" s="88"/>
      <c r="D114" s="86" t="s">
        <v>154</v>
      </c>
      <c r="E114" s="86" t="s">
        <v>155</v>
      </c>
      <c r="F114" s="50"/>
      <c r="G114" s="50"/>
      <c r="H114" s="50"/>
      <c r="I114" s="50"/>
      <c r="J114" s="50"/>
    </row>
    <row r="115" spans="1:10" ht="11.25" customHeight="1" x14ac:dyDescent="0.2">
      <c r="A115" s="50"/>
      <c r="B115" s="88"/>
      <c r="C115" s="88"/>
      <c r="D115" s="87"/>
      <c r="E115" s="87"/>
      <c r="F115" s="50"/>
      <c r="G115" s="50"/>
      <c r="H115" s="50"/>
      <c r="I115" s="50"/>
      <c r="J115" s="50"/>
    </row>
    <row r="116" spans="1:10" x14ac:dyDescent="0.2">
      <c r="A116" s="50"/>
      <c r="B116" s="89" t="s">
        <v>59</v>
      </c>
      <c r="C116" s="89"/>
      <c r="D116" s="48">
        <v>1</v>
      </c>
      <c r="E116" s="48">
        <v>0</v>
      </c>
      <c r="F116" s="50"/>
      <c r="G116" s="50"/>
      <c r="H116" s="50"/>
      <c r="I116" s="50"/>
      <c r="J116" s="50"/>
    </row>
    <row r="117" spans="1:10" x14ac:dyDescent="0.2">
      <c r="A117" s="50"/>
      <c r="B117" s="89" t="s">
        <v>60</v>
      </c>
      <c r="C117" s="89"/>
      <c r="D117" s="48">
        <v>1</v>
      </c>
      <c r="E117" s="48">
        <v>0</v>
      </c>
      <c r="F117" s="50"/>
      <c r="G117" s="50"/>
      <c r="H117" s="50"/>
      <c r="I117" s="50"/>
      <c r="J117" s="50"/>
    </row>
    <row r="118" spans="1:10" ht="7.5" customHeight="1" x14ac:dyDescent="0.2">
      <c r="A118" s="50"/>
      <c r="B118" s="50"/>
      <c r="C118" s="50"/>
      <c r="D118" s="50"/>
      <c r="E118" s="50"/>
      <c r="F118" s="50"/>
      <c r="G118" s="50"/>
      <c r="H118" s="50"/>
      <c r="I118" s="50"/>
      <c r="J118" s="50"/>
    </row>
    <row r="119" spans="1:10" x14ac:dyDescent="0.2">
      <c r="A119" s="62" t="s">
        <v>95</v>
      </c>
      <c r="B119" s="63" t="s">
        <v>134</v>
      </c>
      <c r="C119" s="50"/>
      <c r="D119" s="50"/>
      <c r="E119" s="50"/>
      <c r="F119" s="50"/>
      <c r="G119" s="50"/>
      <c r="H119" s="50"/>
      <c r="I119" s="50"/>
      <c r="J119" s="50"/>
    </row>
    <row r="120" spans="1:10" ht="16.5" customHeight="1" x14ac:dyDescent="0.2">
      <c r="A120" s="50"/>
      <c r="B120" s="45" t="s">
        <v>135</v>
      </c>
    </row>
    <row r="121" spans="1:10" x14ac:dyDescent="0.2">
      <c r="A121" s="50"/>
      <c r="B121" s="45" t="s">
        <v>136</v>
      </c>
      <c r="C121" s="64"/>
      <c r="D121" s="64"/>
      <c r="E121" s="64"/>
      <c r="F121" s="64"/>
      <c r="G121" s="64"/>
      <c r="H121" s="64"/>
      <c r="I121" s="64"/>
      <c r="J121" s="64"/>
    </row>
    <row r="122" spans="1:10" ht="7.5" customHeight="1" x14ac:dyDescent="0.2">
      <c r="A122" s="50"/>
      <c r="B122" s="50"/>
      <c r="C122" s="50"/>
      <c r="D122" s="50"/>
      <c r="E122" s="50"/>
      <c r="F122" s="50"/>
      <c r="G122" s="50"/>
      <c r="H122" s="50"/>
      <c r="I122" s="50"/>
      <c r="J122" s="50"/>
    </row>
    <row r="123" spans="1:10" x14ac:dyDescent="0.2">
      <c r="A123" s="62" t="s">
        <v>96</v>
      </c>
      <c r="B123" s="84" t="s">
        <v>137</v>
      </c>
      <c r="C123" s="84"/>
      <c r="D123" s="84"/>
      <c r="E123" s="84"/>
      <c r="F123" s="84"/>
      <c r="G123" s="84"/>
      <c r="H123" s="84"/>
      <c r="I123" s="84"/>
      <c r="J123" s="84"/>
    </row>
    <row r="124" spans="1:10" x14ac:dyDescent="0.2">
      <c r="A124" s="50"/>
      <c r="B124" s="84"/>
      <c r="C124" s="84"/>
      <c r="D124" s="84"/>
      <c r="E124" s="84"/>
      <c r="F124" s="84"/>
      <c r="G124" s="84"/>
      <c r="H124" s="84"/>
      <c r="I124" s="84"/>
      <c r="J124" s="84"/>
    </row>
    <row r="125" spans="1:10" x14ac:dyDescent="0.2">
      <c r="A125" s="50"/>
      <c r="B125" s="61" t="s">
        <v>138</v>
      </c>
      <c r="C125" s="47">
        <v>1</v>
      </c>
      <c r="D125" s="47" t="s">
        <v>139</v>
      </c>
      <c r="E125" s="50"/>
      <c r="F125" s="50"/>
      <c r="G125" s="50"/>
      <c r="H125" s="50"/>
      <c r="I125" s="50"/>
      <c r="J125" s="50"/>
    </row>
    <row r="126" spans="1:10" x14ac:dyDescent="0.2">
      <c r="A126" s="50"/>
      <c r="B126" s="61" t="s">
        <v>133</v>
      </c>
      <c r="C126" s="48">
        <v>0.2</v>
      </c>
      <c r="D126" s="48">
        <v>0.15</v>
      </c>
      <c r="E126" s="50"/>
      <c r="F126" s="50"/>
      <c r="G126" s="50"/>
      <c r="H126" s="50"/>
      <c r="I126" s="50"/>
      <c r="J126" s="50"/>
    </row>
    <row r="127" spans="1:10" ht="7.5" customHeight="1" x14ac:dyDescent="0.2">
      <c r="A127" s="50"/>
      <c r="B127" s="50"/>
      <c r="C127" s="50"/>
      <c r="D127" s="50"/>
      <c r="E127" s="50"/>
      <c r="F127" s="50"/>
      <c r="G127" s="50"/>
      <c r="H127" s="50"/>
      <c r="I127" s="50"/>
      <c r="J127" s="50"/>
    </row>
    <row r="128" spans="1:10" ht="16.5" customHeight="1" x14ac:dyDescent="0.2">
      <c r="A128" s="62" t="s">
        <v>97</v>
      </c>
      <c r="B128" s="46" t="s">
        <v>140</v>
      </c>
      <c r="C128" s="49"/>
      <c r="D128" s="49"/>
      <c r="E128" s="49"/>
      <c r="F128" s="49"/>
      <c r="G128" s="49"/>
      <c r="H128" s="49"/>
      <c r="I128" s="49"/>
      <c r="J128" s="49"/>
    </row>
    <row r="129" spans="1:10" ht="7.5" customHeight="1" x14ac:dyDescent="0.2">
      <c r="A129" s="50"/>
      <c r="B129" s="50"/>
      <c r="C129" s="50"/>
      <c r="D129" s="50"/>
      <c r="E129" s="50"/>
      <c r="F129" s="50"/>
      <c r="G129" s="50"/>
      <c r="H129" s="50"/>
      <c r="I129" s="50"/>
      <c r="J129" s="50"/>
    </row>
    <row r="130" spans="1:10" ht="16.5" customHeight="1" x14ac:dyDescent="0.2">
      <c r="A130" s="62" t="s">
        <v>98</v>
      </c>
      <c r="B130" s="84" t="s">
        <v>141</v>
      </c>
      <c r="C130" s="84"/>
      <c r="D130" s="84"/>
      <c r="E130" s="84"/>
      <c r="F130" s="84"/>
      <c r="G130" s="84"/>
      <c r="H130" s="84"/>
      <c r="I130" s="84"/>
      <c r="J130" s="84"/>
    </row>
    <row r="131" spans="1:10" x14ac:dyDescent="0.2">
      <c r="A131" s="50"/>
      <c r="B131" s="84"/>
      <c r="C131" s="84"/>
      <c r="D131" s="84"/>
      <c r="E131" s="84"/>
      <c r="F131" s="84"/>
      <c r="G131" s="84"/>
      <c r="H131" s="84"/>
      <c r="I131" s="84"/>
      <c r="J131" s="84"/>
    </row>
    <row r="132" spans="1:10" ht="7.5" customHeight="1" x14ac:dyDescent="0.2">
      <c r="A132" s="50"/>
      <c r="B132" s="50"/>
      <c r="C132" s="50"/>
      <c r="D132" s="50"/>
      <c r="E132" s="50"/>
      <c r="F132" s="50"/>
      <c r="G132" s="50"/>
      <c r="H132" s="50"/>
      <c r="I132" s="50"/>
      <c r="J132" s="50"/>
    </row>
    <row r="133" spans="1:10" x14ac:dyDescent="0.2">
      <c r="A133" s="62" t="s">
        <v>142</v>
      </c>
      <c r="B133" s="46" t="s">
        <v>143</v>
      </c>
      <c r="C133" s="50"/>
      <c r="D133" s="50"/>
      <c r="E133" s="50"/>
      <c r="F133" s="50"/>
      <c r="G133" s="50"/>
      <c r="H133" s="50"/>
      <c r="I133" s="50"/>
      <c r="J133" s="50"/>
    </row>
    <row r="134" spans="1:10" ht="7.5" customHeight="1" x14ac:dyDescent="0.2">
      <c r="A134" s="50"/>
      <c r="B134" s="50"/>
      <c r="C134" s="50"/>
      <c r="D134" s="50"/>
      <c r="E134" s="50"/>
      <c r="F134" s="50"/>
      <c r="G134" s="50"/>
      <c r="H134" s="50"/>
      <c r="I134" s="50"/>
      <c r="J134" s="50"/>
    </row>
    <row r="135" spans="1:10" ht="16.5" customHeight="1" x14ac:dyDescent="0.2">
      <c r="A135" s="62" t="s">
        <v>144</v>
      </c>
      <c r="B135" s="46" t="s">
        <v>145</v>
      </c>
      <c r="C135" s="65"/>
      <c r="D135" s="65"/>
      <c r="E135" s="65"/>
      <c r="F135" s="65"/>
      <c r="G135" s="65"/>
      <c r="H135" s="65"/>
      <c r="I135" s="65"/>
      <c r="J135" s="65"/>
    </row>
    <row r="136" spans="1:10" ht="7.5" customHeight="1" x14ac:dyDescent="0.2">
      <c r="A136" s="50"/>
      <c r="B136" s="50"/>
      <c r="C136" s="50"/>
      <c r="D136" s="50"/>
      <c r="E136" s="50"/>
      <c r="F136" s="50"/>
      <c r="G136" s="50"/>
      <c r="H136" s="50"/>
      <c r="I136" s="50"/>
      <c r="J136" s="50"/>
    </row>
    <row r="137" spans="1:10" x14ac:dyDescent="0.2">
      <c r="A137" s="62" t="s">
        <v>146</v>
      </c>
      <c r="B137" s="84" t="s">
        <v>147</v>
      </c>
      <c r="C137" s="84"/>
      <c r="D137" s="84"/>
      <c r="E137" s="84"/>
      <c r="F137" s="84"/>
      <c r="G137" s="84"/>
      <c r="H137" s="84"/>
      <c r="I137" s="84"/>
      <c r="J137" s="84"/>
    </row>
    <row r="138" spans="1:10" x14ac:dyDescent="0.2">
      <c r="A138" s="50"/>
      <c r="B138" s="84"/>
      <c r="C138" s="84"/>
      <c r="D138" s="84"/>
      <c r="E138" s="84"/>
      <c r="F138" s="84"/>
      <c r="G138" s="84"/>
      <c r="H138" s="84"/>
      <c r="I138" s="84"/>
      <c r="J138" s="84"/>
    </row>
    <row r="139" spans="1:10" ht="7.5" customHeight="1" x14ac:dyDescent="0.2">
      <c r="A139" s="50"/>
      <c r="B139" s="50"/>
      <c r="C139" s="50"/>
      <c r="D139" s="50"/>
      <c r="E139" s="50"/>
      <c r="F139" s="50"/>
      <c r="G139" s="50"/>
      <c r="H139" s="50"/>
      <c r="I139" s="50"/>
      <c r="J139" s="50"/>
    </row>
    <row r="140" spans="1:10" x14ac:dyDescent="0.2">
      <c r="A140" s="62" t="s">
        <v>148</v>
      </c>
      <c r="B140" s="46" t="s">
        <v>149</v>
      </c>
      <c r="C140" s="50"/>
      <c r="D140" s="50"/>
      <c r="E140" s="50"/>
      <c r="F140" s="50"/>
      <c r="G140" s="50"/>
      <c r="H140" s="50"/>
      <c r="I140" s="50"/>
      <c r="J140" s="50"/>
    </row>
    <row r="141" spans="1:10" ht="7.5" customHeight="1" x14ac:dyDescent="0.2">
      <c r="A141" s="50"/>
      <c r="B141" s="50"/>
      <c r="C141" s="50"/>
      <c r="D141" s="50"/>
      <c r="E141" s="50"/>
      <c r="F141" s="50"/>
      <c r="G141" s="50"/>
      <c r="H141" s="50"/>
      <c r="I141" s="50"/>
      <c r="J141" s="50"/>
    </row>
    <row r="142" spans="1:10" x14ac:dyDescent="0.2">
      <c r="A142" s="62" t="s">
        <v>150</v>
      </c>
      <c r="B142" s="46" t="s">
        <v>151</v>
      </c>
      <c r="C142" s="50"/>
      <c r="D142" s="50"/>
      <c r="E142" s="50"/>
      <c r="F142" s="50"/>
      <c r="G142" s="50"/>
      <c r="H142" s="50"/>
      <c r="I142" s="50"/>
      <c r="J142" s="50"/>
    </row>
    <row r="143" spans="1:10" ht="7.5" customHeight="1" x14ac:dyDescent="0.2">
      <c r="A143" s="50"/>
      <c r="B143" s="50"/>
      <c r="C143" s="50"/>
      <c r="D143" s="50"/>
      <c r="E143" s="50"/>
      <c r="F143" s="50"/>
      <c r="G143" s="50"/>
      <c r="H143" s="50"/>
      <c r="I143" s="50"/>
      <c r="J143" s="50"/>
    </row>
    <row r="144" spans="1:10" x14ac:dyDescent="0.2">
      <c r="A144" s="62" t="s">
        <v>152</v>
      </c>
      <c r="B144" s="85" t="s">
        <v>153</v>
      </c>
      <c r="C144" s="85"/>
      <c r="D144" s="85"/>
      <c r="E144" s="85"/>
      <c r="F144" s="85"/>
      <c r="G144" s="85"/>
      <c r="H144" s="85"/>
      <c r="I144" s="85"/>
      <c r="J144" s="85"/>
    </row>
    <row r="145" spans="1:10" x14ac:dyDescent="0.2">
      <c r="A145" s="50"/>
      <c r="B145" s="85"/>
      <c r="C145" s="85"/>
      <c r="D145" s="85"/>
      <c r="E145" s="85"/>
      <c r="F145" s="85"/>
      <c r="G145" s="85"/>
      <c r="H145" s="85"/>
      <c r="I145" s="85"/>
      <c r="J145" s="85"/>
    </row>
    <row r="146" spans="1:10" ht="7.5" customHeight="1" x14ac:dyDescent="0.2">
      <c r="A146" s="50"/>
      <c r="B146" s="50"/>
      <c r="C146" s="50"/>
      <c r="D146" s="50"/>
      <c r="E146" s="50"/>
      <c r="F146" s="50"/>
      <c r="G146" s="50"/>
      <c r="H146" s="50"/>
      <c r="I146" s="50"/>
      <c r="J146" s="50"/>
    </row>
    <row r="147" spans="1:10" x14ac:dyDescent="0.2">
      <c r="A147" s="62" t="s">
        <v>156</v>
      </c>
      <c r="B147" s="85" t="s">
        <v>157</v>
      </c>
      <c r="C147" s="85"/>
      <c r="D147" s="85"/>
      <c r="E147" s="85"/>
      <c r="F147" s="85"/>
      <c r="G147" s="85"/>
      <c r="H147" s="85"/>
      <c r="I147" s="85"/>
      <c r="J147" s="85"/>
    </row>
    <row r="148" spans="1:10" x14ac:dyDescent="0.2">
      <c r="A148" s="50"/>
      <c r="B148" s="85"/>
      <c r="C148" s="85"/>
      <c r="D148" s="85"/>
      <c r="E148" s="85"/>
      <c r="F148" s="85"/>
      <c r="G148" s="85"/>
      <c r="H148" s="85"/>
      <c r="I148" s="85"/>
      <c r="J148" s="85"/>
    </row>
    <row r="149" spans="1:10" ht="7.5" customHeight="1" x14ac:dyDescent="0.2">
      <c r="A149" s="50"/>
      <c r="B149" s="85"/>
      <c r="C149" s="85"/>
      <c r="D149" s="85"/>
      <c r="E149" s="85"/>
      <c r="F149" s="85"/>
      <c r="G149" s="85"/>
      <c r="H149" s="85"/>
      <c r="I149" s="85"/>
      <c r="J149" s="85"/>
    </row>
    <row r="150" spans="1:10" ht="7.5" customHeight="1" x14ac:dyDescent="0.2">
      <c r="A150" s="50"/>
      <c r="B150" s="85"/>
      <c r="C150" s="85"/>
      <c r="D150" s="85"/>
      <c r="E150" s="85"/>
      <c r="F150" s="85"/>
      <c r="G150" s="85"/>
      <c r="H150" s="85"/>
      <c r="I150" s="85"/>
      <c r="J150" s="85"/>
    </row>
    <row r="151" spans="1:10" x14ac:dyDescent="0.2">
      <c r="A151" s="62" t="s">
        <v>158</v>
      </c>
      <c r="B151" s="46" t="s">
        <v>159</v>
      </c>
      <c r="C151" s="50"/>
      <c r="D151" s="50"/>
      <c r="E151" s="50"/>
      <c r="F151" s="50"/>
      <c r="G151" s="50"/>
      <c r="H151" s="50"/>
      <c r="I151" s="50"/>
      <c r="J151" s="50"/>
    </row>
    <row r="152" spans="1:10" ht="7.5" customHeight="1" x14ac:dyDescent="0.2">
      <c r="A152" s="50"/>
      <c r="B152" s="50"/>
      <c r="C152" s="50"/>
      <c r="D152" s="50"/>
      <c r="E152" s="50"/>
      <c r="F152" s="50"/>
      <c r="G152" s="50"/>
      <c r="H152" s="50"/>
      <c r="I152" s="50"/>
      <c r="J152" s="50"/>
    </row>
    <row r="153" spans="1:10" ht="16.5" customHeight="1" x14ac:dyDescent="0.2">
      <c r="A153" s="62" t="s">
        <v>160</v>
      </c>
      <c r="B153" s="85" t="s">
        <v>161</v>
      </c>
      <c r="C153" s="85"/>
      <c r="D153" s="85"/>
      <c r="E153" s="85"/>
      <c r="F153" s="85"/>
      <c r="G153" s="85"/>
      <c r="H153" s="85"/>
      <c r="I153" s="85"/>
      <c r="J153" s="85"/>
    </row>
    <row r="154" spans="1:10" x14ac:dyDescent="0.2">
      <c r="A154" s="50"/>
      <c r="B154" s="85"/>
      <c r="C154" s="85"/>
      <c r="D154" s="85"/>
      <c r="E154" s="85"/>
      <c r="F154" s="85"/>
      <c r="G154" s="85"/>
      <c r="H154" s="85"/>
      <c r="I154" s="85"/>
      <c r="J154" s="85"/>
    </row>
    <row r="155" spans="1:10" x14ac:dyDescent="0.2">
      <c r="A155" s="50"/>
      <c r="B155" s="64"/>
      <c r="C155" s="64"/>
      <c r="D155" s="64"/>
      <c r="E155" s="64"/>
      <c r="F155" s="64"/>
      <c r="G155" s="64"/>
      <c r="H155" s="64"/>
      <c r="I155" s="64"/>
      <c r="J155" s="64"/>
    </row>
    <row r="156" spans="1:10" x14ac:dyDescent="0.2">
      <c r="A156" s="50"/>
      <c r="B156" s="66"/>
      <c r="C156" s="66"/>
      <c r="D156" s="66"/>
      <c r="E156" s="66"/>
      <c r="F156" s="66"/>
      <c r="G156" s="66"/>
      <c r="H156" s="66"/>
      <c r="I156" s="66"/>
      <c r="J156" s="66"/>
    </row>
    <row r="157" spans="1:10" x14ac:dyDescent="0.2">
      <c r="A157" s="50"/>
      <c r="B157" s="66"/>
      <c r="C157" s="66"/>
      <c r="D157" s="66"/>
      <c r="E157" s="66"/>
      <c r="F157" s="66"/>
      <c r="G157" s="66"/>
      <c r="H157" s="66"/>
      <c r="I157" s="66"/>
      <c r="J157" s="66"/>
    </row>
    <row r="158" spans="1:10" x14ac:dyDescent="0.2">
      <c r="A158" s="50"/>
      <c r="B158" s="66"/>
      <c r="C158" s="66"/>
      <c r="D158" s="66"/>
      <c r="E158" s="66"/>
      <c r="F158" s="66"/>
      <c r="G158" s="66"/>
      <c r="H158" s="66"/>
      <c r="I158" s="66"/>
      <c r="J158" s="66"/>
    </row>
    <row r="159" spans="1:10" x14ac:dyDescent="0.2">
      <c r="A159" s="50"/>
      <c r="B159" s="50"/>
      <c r="C159" s="50"/>
      <c r="D159" s="50"/>
      <c r="E159" s="50"/>
      <c r="F159" s="50"/>
      <c r="G159" s="50"/>
      <c r="H159" s="50"/>
      <c r="I159" s="50"/>
      <c r="J159" s="50"/>
    </row>
    <row r="160" spans="1:10" x14ac:dyDescent="0.2">
      <c r="A160" s="50"/>
      <c r="B160" s="50"/>
      <c r="C160" s="50"/>
      <c r="D160" s="50"/>
      <c r="E160" s="50"/>
      <c r="F160" s="50"/>
      <c r="G160" s="50"/>
      <c r="H160" s="50"/>
      <c r="I160" s="50"/>
      <c r="J160" s="50"/>
    </row>
    <row r="161" spans="1:10" x14ac:dyDescent="0.2">
      <c r="A161" s="50"/>
      <c r="B161" s="50"/>
      <c r="C161" s="50"/>
      <c r="D161" s="50"/>
      <c r="E161" s="50"/>
      <c r="F161" s="50"/>
      <c r="G161" s="50"/>
      <c r="H161" s="50"/>
      <c r="I161" s="50"/>
      <c r="J161" s="50"/>
    </row>
    <row r="162" spans="1:10" x14ac:dyDescent="0.2">
      <c r="A162" s="50"/>
      <c r="B162" s="50"/>
      <c r="C162" s="50"/>
      <c r="D162" s="50"/>
      <c r="E162" s="50"/>
      <c r="F162" s="50"/>
      <c r="G162" s="50"/>
      <c r="H162" s="50"/>
      <c r="I162" s="50"/>
      <c r="J162" s="57">
        <v>3</v>
      </c>
    </row>
    <row r="163" spans="1:10" x14ac:dyDescent="0.2">
      <c r="A163" s="50"/>
      <c r="B163" s="50"/>
      <c r="C163" s="50"/>
      <c r="D163" s="50"/>
      <c r="E163" s="50"/>
      <c r="F163" s="50"/>
      <c r="G163" s="50"/>
      <c r="H163" s="50"/>
      <c r="I163" s="50"/>
      <c r="J163" s="50"/>
    </row>
    <row r="164" spans="1:10" x14ac:dyDescent="0.2">
      <c r="A164" s="50"/>
      <c r="B164" s="50"/>
      <c r="C164" s="50"/>
      <c r="D164" s="50"/>
      <c r="E164" s="50"/>
      <c r="F164" s="50"/>
      <c r="G164" s="50"/>
      <c r="H164" s="50"/>
      <c r="I164" s="50"/>
      <c r="J164" s="50"/>
    </row>
    <row r="165" spans="1:10" x14ac:dyDescent="0.2">
      <c r="J165" s="50"/>
    </row>
    <row r="166" spans="1:10" x14ac:dyDescent="0.2">
      <c r="J166" s="50"/>
    </row>
    <row r="167" spans="1:10" x14ac:dyDescent="0.2">
      <c r="J167" s="50"/>
    </row>
    <row r="168" spans="1:10" x14ac:dyDescent="0.2">
      <c r="J168" s="50"/>
    </row>
    <row r="169" spans="1:10" x14ac:dyDescent="0.2">
      <c r="A169" s="46" t="str">
        <f ca="1">"Nomor Ilustrasi : IP"&amp;UPPER(LEFT(FC_Name,1))&amp;UPPER(LEFT(Office,1)&amp;"-"&amp;TODAY()&amp;"-"&amp;(ROUND(NOW()-TODAY(),5))*100000)</f>
        <v>Nomor Ilustrasi : IPTJ-43386-57144</v>
      </c>
      <c r="B169" s="50"/>
      <c r="C169" s="50"/>
      <c r="D169" s="50"/>
      <c r="E169" s="50"/>
      <c r="F169" s="50"/>
      <c r="G169" s="50"/>
      <c r="H169" s="50"/>
      <c r="I169" s="50"/>
      <c r="J169" s="50"/>
    </row>
    <row r="170" spans="1:10" x14ac:dyDescent="0.2">
      <c r="A170" s="50"/>
      <c r="B170" s="50"/>
      <c r="C170" s="50"/>
      <c r="D170" s="50"/>
      <c r="E170" s="50"/>
      <c r="F170" s="50"/>
      <c r="G170" s="50"/>
      <c r="H170" s="50"/>
      <c r="I170" s="50"/>
      <c r="J170" s="50"/>
    </row>
    <row r="171" spans="1:10" x14ac:dyDescent="0.2">
      <c r="A171" s="67"/>
      <c r="B171" s="46" t="s">
        <v>99</v>
      </c>
    </row>
    <row r="172" spans="1:10" ht="16.5" customHeight="1" x14ac:dyDescent="0.2">
      <c r="A172" s="62" t="s">
        <v>94</v>
      </c>
      <c r="B172" s="95" t="s">
        <v>129</v>
      </c>
      <c r="C172" s="95"/>
      <c r="D172" s="95"/>
      <c r="E172" s="95"/>
      <c r="F172" s="95"/>
      <c r="G172" s="95"/>
      <c r="H172" s="95"/>
      <c r="I172" s="95"/>
      <c r="J172" s="95"/>
    </row>
    <row r="173" spans="1:10" x14ac:dyDescent="0.2">
      <c r="A173" s="68"/>
      <c r="B173" s="95"/>
      <c r="C173" s="95"/>
      <c r="D173" s="95"/>
      <c r="E173" s="95"/>
      <c r="F173" s="95"/>
      <c r="G173" s="95"/>
      <c r="H173" s="95"/>
      <c r="I173" s="95"/>
      <c r="J173" s="95"/>
    </row>
    <row r="174" spans="1:10" ht="27" customHeight="1" x14ac:dyDescent="0.2">
      <c r="A174" s="68"/>
      <c r="B174" s="95"/>
      <c r="C174" s="95"/>
      <c r="D174" s="95"/>
      <c r="E174" s="95"/>
      <c r="F174" s="95"/>
      <c r="G174" s="95"/>
      <c r="H174" s="95"/>
      <c r="I174" s="95"/>
      <c r="J174" s="95"/>
    </row>
    <row r="175" spans="1:10" ht="16.5" customHeight="1" x14ac:dyDescent="0.2">
      <c r="A175" s="62" t="s">
        <v>95</v>
      </c>
      <c r="B175" s="85" t="s">
        <v>128</v>
      </c>
      <c r="C175" s="85"/>
      <c r="D175" s="85"/>
      <c r="E175" s="85"/>
      <c r="F175" s="85"/>
      <c r="G175" s="85"/>
      <c r="H175" s="85"/>
      <c r="I175" s="85"/>
      <c r="J175" s="85"/>
    </row>
    <row r="176" spans="1:10" x14ac:dyDescent="0.2">
      <c r="A176" s="68"/>
      <c r="B176" s="85"/>
      <c r="C176" s="85"/>
      <c r="D176" s="85"/>
      <c r="E176" s="85"/>
      <c r="F176" s="85"/>
      <c r="G176" s="85"/>
      <c r="H176" s="85"/>
      <c r="I176" s="85"/>
      <c r="J176" s="85"/>
    </row>
    <row r="177" spans="1:10" x14ac:dyDescent="0.2">
      <c r="A177" s="68"/>
      <c r="B177" s="85"/>
      <c r="C177" s="85"/>
      <c r="D177" s="85"/>
      <c r="E177" s="85"/>
      <c r="F177" s="85"/>
      <c r="G177" s="85"/>
      <c r="H177" s="85"/>
      <c r="I177" s="85"/>
      <c r="J177" s="85"/>
    </row>
    <row r="178" spans="1:10" x14ac:dyDescent="0.2">
      <c r="A178" s="68"/>
      <c r="B178" s="85"/>
      <c r="C178" s="85"/>
      <c r="D178" s="85"/>
      <c r="E178" s="85"/>
      <c r="F178" s="85"/>
      <c r="G178" s="85"/>
      <c r="H178" s="85"/>
      <c r="I178" s="85"/>
      <c r="J178" s="85"/>
    </row>
    <row r="179" spans="1:10" x14ac:dyDescent="0.2">
      <c r="A179" s="68"/>
      <c r="B179" s="85"/>
      <c r="C179" s="85"/>
      <c r="D179" s="85"/>
      <c r="E179" s="85"/>
      <c r="F179" s="85"/>
      <c r="G179" s="85"/>
      <c r="H179" s="85"/>
      <c r="I179" s="85"/>
      <c r="J179" s="85"/>
    </row>
    <row r="180" spans="1:10" x14ac:dyDescent="0.2">
      <c r="A180" s="62" t="s">
        <v>96</v>
      </c>
      <c r="B180" s="95" t="s">
        <v>127</v>
      </c>
      <c r="C180" s="95"/>
      <c r="D180" s="95"/>
      <c r="E180" s="95"/>
      <c r="F180" s="95"/>
      <c r="G180" s="95"/>
      <c r="H180" s="95"/>
      <c r="I180" s="95"/>
      <c r="J180" s="95"/>
    </row>
    <row r="181" spans="1:10" x14ac:dyDescent="0.2">
      <c r="A181" s="68"/>
      <c r="B181" s="95"/>
      <c r="C181" s="95"/>
      <c r="D181" s="95"/>
      <c r="E181" s="95"/>
      <c r="F181" s="95"/>
      <c r="G181" s="95"/>
      <c r="H181" s="95"/>
      <c r="I181" s="95"/>
      <c r="J181" s="95"/>
    </row>
    <row r="182" spans="1:10" ht="16.5" customHeight="1" x14ac:dyDescent="0.2">
      <c r="A182" s="62" t="s">
        <v>97</v>
      </c>
      <c r="B182" s="95" t="s">
        <v>126</v>
      </c>
      <c r="C182" s="95"/>
      <c r="D182" s="95"/>
      <c r="E182" s="95"/>
      <c r="F182" s="95"/>
      <c r="G182" s="95"/>
      <c r="H182" s="95"/>
      <c r="I182" s="95"/>
      <c r="J182" s="95"/>
    </row>
    <row r="183" spans="1:10" x14ac:dyDescent="0.2">
      <c r="A183" s="68"/>
      <c r="B183" s="95"/>
      <c r="C183" s="95"/>
      <c r="D183" s="95"/>
      <c r="E183" s="95"/>
      <c r="F183" s="95"/>
      <c r="G183" s="95"/>
      <c r="H183" s="95"/>
      <c r="I183" s="95"/>
      <c r="J183" s="95"/>
    </row>
    <row r="184" spans="1:10" x14ac:dyDescent="0.2">
      <c r="A184" s="69"/>
      <c r="B184" s="95"/>
      <c r="C184" s="95"/>
      <c r="D184" s="95"/>
      <c r="E184" s="95"/>
      <c r="F184" s="95"/>
      <c r="G184" s="95"/>
      <c r="H184" s="95"/>
      <c r="I184" s="95"/>
      <c r="J184" s="95"/>
    </row>
    <row r="185" spans="1:10" x14ac:dyDescent="0.2">
      <c r="A185" s="68"/>
      <c r="B185" s="95"/>
      <c r="C185" s="95"/>
      <c r="D185" s="95"/>
      <c r="E185" s="95"/>
      <c r="F185" s="95"/>
      <c r="G185" s="95"/>
      <c r="H185" s="95"/>
      <c r="I185" s="95"/>
      <c r="J185" s="95"/>
    </row>
    <row r="186" spans="1:10" x14ac:dyDescent="0.2">
      <c r="A186" s="68"/>
      <c r="B186" s="95"/>
      <c r="C186" s="95"/>
      <c r="D186" s="95"/>
      <c r="E186" s="95"/>
      <c r="F186" s="95"/>
      <c r="G186" s="95"/>
      <c r="H186" s="95"/>
      <c r="I186" s="95"/>
      <c r="J186" s="95"/>
    </row>
    <row r="187" spans="1:10" ht="16.5" customHeight="1" x14ac:dyDescent="0.2">
      <c r="B187" s="95"/>
      <c r="C187" s="95"/>
      <c r="D187" s="95"/>
      <c r="E187" s="95"/>
      <c r="F187" s="95"/>
      <c r="G187" s="95"/>
      <c r="H187" s="95"/>
      <c r="I187" s="95"/>
      <c r="J187" s="95"/>
    </row>
    <row r="188" spans="1:10" x14ac:dyDescent="0.2">
      <c r="A188" s="62" t="s">
        <v>98</v>
      </c>
      <c r="B188" s="95" t="s">
        <v>125</v>
      </c>
      <c r="C188" s="95"/>
      <c r="D188" s="95"/>
      <c r="E188" s="95"/>
      <c r="F188" s="95"/>
      <c r="G188" s="95"/>
      <c r="H188" s="95"/>
      <c r="I188" s="95"/>
      <c r="J188" s="95"/>
    </row>
    <row r="189" spans="1:10" x14ac:dyDescent="0.2">
      <c r="A189" s="68"/>
      <c r="B189" s="95"/>
      <c r="C189" s="95"/>
      <c r="D189" s="95"/>
      <c r="E189" s="95"/>
      <c r="F189" s="95"/>
      <c r="G189" s="95"/>
      <c r="H189" s="95"/>
      <c r="I189" s="95"/>
      <c r="J189" s="95"/>
    </row>
    <row r="190" spans="1:10" x14ac:dyDescent="0.2">
      <c r="A190" s="68"/>
      <c r="B190" s="95"/>
      <c r="C190" s="95"/>
      <c r="D190" s="95"/>
      <c r="E190" s="95"/>
      <c r="F190" s="95"/>
      <c r="G190" s="95"/>
      <c r="H190" s="95"/>
      <c r="I190" s="95"/>
      <c r="J190" s="95"/>
    </row>
    <row r="191" spans="1:10" x14ac:dyDescent="0.2">
      <c r="A191" s="68"/>
      <c r="B191" s="95"/>
      <c r="C191" s="95"/>
      <c r="D191" s="95"/>
      <c r="E191" s="95"/>
      <c r="F191" s="95"/>
      <c r="G191" s="95"/>
      <c r="H191" s="95"/>
      <c r="I191" s="95"/>
      <c r="J191" s="95"/>
    </row>
    <row r="216" spans="1:10" x14ac:dyDescent="0.2">
      <c r="J216" s="57">
        <v>4</v>
      </c>
    </row>
    <row r="218" spans="1:10" x14ac:dyDescent="0.2">
      <c r="A218" s="50"/>
      <c r="B218" s="50"/>
      <c r="C218" s="50"/>
      <c r="D218" s="50"/>
      <c r="E218" s="50"/>
      <c r="F218" s="50"/>
      <c r="G218" s="50"/>
      <c r="H218" s="50"/>
      <c r="I218" s="50"/>
      <c r="J218" s="50"/>
    </row>
    <row r="219" spans="1:10" x14ac:dyDescent="0.2">
      <c r="A219" s="50"/>
      <c r="B219" s="50"/>
      <c r="C219" s="50"/>
      <c r="D219" s="50"/>
      <c r="E219" s="50"/>
      <c r="F219" s="50"/>
      <c r="G219" s="50"/>
      <c r="H219" s="50"/>
      <c r="I219" s="50"/>
      <c r="J219" s="50"/>
    </row>
    <row r="220" spans="1:10" x14ac:dyDescent="0.2">
      <c r="A220" s="50"/>
      <c r="B220" s="50"/>
      <c r="C220" s="50"/>
      <c r="D220" s="50"/>
      <c r="E220" s="50"/>
      <c r="F220" s="50"/>
      <c r="G220" s="50"/>
      <c r="H220" s="50"/>
      <c r="I220" s="50"/>
      <c r="J220" s="50"/>
    </row>
    <row r="221" spans="1:10" x14ac:dyDescent="0.2">
      <c r="A221" s="46" t="str">
        <f ca="1">"Nomor Ilustrasi : IP"&amp;UPPER(LEFT(FC_Name,1))&amp;UPPER(LEFT(Office,1)&amp;"-"&amp;TODAY()&amp;"-"&amp;(ROUND(NOW()-TODAY(),5))*100000)</f>
        <v>Nomor Ilustrasi : IPTJ-43386-57144</v>
      </c>
      <c r="B221" s="50"/>
      <c r="C221" s="50"/>
      <c r="D221" s="50"/>
      <c r="E221" s="50"/>
      <c r="F221" s="50"/>
      <c r="G221" s="50"/>
      <c r="H221" s="50"/>
      <c r="I221" s="50"/>
      <c r="J221" s="50"/>
    </row>
    <row r="222" spans="1:10" x14ac:dyDescent="0.2">
      <c r="A222" s="50"/>
      <c r="B222" s="50"/>
      <c r="C222" s="50"/>
      <c r="D222" s="50"/>
      <c r="E222" s="50"/>
      <c r="F222" s="50"/>
      <c r="G222" s="50"/>
      <c r="H222" s="50"/>
      <c r="I222" s="50"/>
      <c r="J222" s="50"/>
    </row>
    <row r="223" spans="1:10" ht="16" x14ac:dyDescent="0.2">
      <c r="A223" s="42" t="s">
        <v>100</v>
      </c>
      <c r="B223" s="42"/>
      <c r="C223" s="42"/>
      <c r="D223" s="42"/>
      <c r="E223" s="42"/>
      <c r="F223" s="42"/>
      <c r="G223" s="42"/>
      <c r="H223" s="42"/>
      <c r="I223" s="42"/>
      <c r="J223" s="42"/>
    </row>
    <row r="224" spans="1:10" x14ac:dyDescent="0.2">
      <c r="A224" s="46" t="s">
        <v>101</v>
      </c>
    </row>
    <row r="225" spans="1:10" x14ac:dyDescent="0.2">
      <c r="A225" s="45"/>
      <c r="B225" s="70" t="s">
        <v>115</v>
      </c>
      <c r="C225" s="70"/>
      <c r="D225" s="70"/>
      <c r="E225" s="70"/>
      <c r="F225" s="70"/>
      <c r="G225" s="70"/>
      <c r="H225" s="70"/>
      <c r="I225" s="70"/>
      <c r="J225" s="70"/>
    </row>
    <row r="226" spans="1:10" x14ac:dyDescent="0.2">
      <c r="B226" s="70"/>
      <c r="C226" s="70"/>
      <c r="D226" s="70"/>
      <c r="E226" s="70"/>
      <c r="F226" s="70"/>
      <c r="G226" s="70"/>
      <c r="H226" s="70"/>
      <c r="I226" s="70"/>
      <c r="J226" s="70"/>
    </row>
    <row r="227" spans="1:10" x14ac:dyDescent="0.2">
      <c r="B227" s="70"/>
      <c r="C227" s="70"/>
      <c r="D227" s="70"/>
      <c r="E227" s="70"/>
      <c r="F227" s="70"/>
      <c r="G227" s="70"/>
      <c r="H227" s="70"/>
      <c r="I227" s="70"/>
      <c r="J227" s="70"/>
    </row>
    <row r="228" spans="1:10" x14ac:dyDescent="0.2">
      <c r="A228" s="45"/>
      <c r="B228" s="70" t="s">
        <v>115</v>
      </c>
      <c r="C228" s="70"/>
      <c r="D228" s="70"/>
      <c r="E228" s="70"/>
      <c r="F228" s="70"/>
      <c r="G228" s="70"/>
      <c r="H228" s="70"/>
      <c r="I228" s="70"/>
      <c r="J228" s="70"/>
    </row>
    <row r="229" spans="1:10" x14ac:dyDescent="0.2">
      <c r="B229" s="70"/>
      <c r="C229" s="70"/>
      <c r="D229" s="70"/>
      <c r="E229" s="70"/>
      <c r="F229" s="70"/>
      <c r="G229" s="70"/>
      <c r="H229" s="70"/>
      <c r="I229" s="70"/>
      <c r="J229" s="70"/>
    </row>
    <row r="230" spans="1:10" x14ac:dyDescent="0.2">
      <c r="A230" s="45"/>
      <c r="B230" s="70" t="s">
        <v>115</v>
      </c>
      <c r="C230" s="70"/>
      <c r="D230" s="70"/>
      <c r="E230" s="70"/>
      <c r="F230" s="70"/>
      <c r="G230" s="70"/>
      <c r="H230" s="70"/>
      <c r="I230" s="70"/>
      <c r="J230" s="70"/>
    </row>
    <row r="231" spans="1:10" x14ac:dyDescent="0.2">
      <c r="B231" s="70"/>
      <c r="C231" s="70"/>
      <c r="D231" s="70"/>
      <c r="E231" s="70"/>
      <c r="F231" s="70"/>
      <c r="G231" s="70"/>
      <c r="H231" s="70"/>
      <c r="I231" s="70"/>
      <c r="J231" s="70"/>
    </row>
    <row r="232" spans="1:10" x14ac:dyDescent="0.2">
      <c r="A232" s="45"/>
      <c r="B232" s="70" t="s">
        <v>115</v>
      </c>
      <c r="C232" s="70"/>
      <c r="D232" s="70"/>
      <c r="E232" s="70"/>
      <c r="F232" s="70"/>
      <c r="G232" s="70"/>
      <c r="H232" s="70"/>
      <c r="I232" s="70"/>
      <c r="J232" s="70"/>
    </row>
    <row r="233" spans="1:10" x14ac:dyDescent="0.2">
      <c r="B233" s="70"/>
      <c r="C233" s="70"/>
      <c r="D233" s="70"/>
      <c r="E233" s="70"/>
      <c r="F233" s="70"/>
      <c r="G233" s="70"/>
      <c r="H233" s="70"/>
      <c r="I233" s="70"/>
      <c r="J233" s="70"/>
    </row>
    <row r="234" spans="1:10" x14ac:dyDescent="0.2">
      <c r="A234" s="45"/>
      <c r="B234" s="70" t="s">
        <v>115</v>
      </c>
      <c r="C234" s="70"/>
      <c r="D234" s="70"/>
      <c r="E234" s="70"/>
      <c r="F234" s="70"/>
      <c r="G234" s="70"/>
      <c r="H234" s="70"/>
      <c r="I234" s="70"/>
      <c r="J234" s="70"/>
    </row>
    <row r="235" spans="1:10" x14ac:dyDescent="0.2">
      <c r="B235" s="70"/>
      <c r="C235" s="70"/>
      <c r="D235" s="70"/>
      <c r="E235" s="70"/>
      <c r="F235" s="70"/>
      <c r="G235" s="70"/>
      <c r="H235" s="70"/>
      <c r="I235" s="70"/>
      <c r="J235" s="70"/>
    </row>
    <row r="236" spans="1:10" x14ac:dyDescent="0.2">
      <c r="B236" s="70"/>
      <c r="C236" s="70"/>
      <c r="D236" s="70"/>
      <c r="E236" s="70"/>
      <c r="F236" s="70"/>
      <c r="G236" s="70"/>
      <c r="H236" s="70"/>
      <c r="I236" s="70"/>
      <c r="J236" s="70"/>
    </row>
    <row r="237" spans="1:10" x14ac:dyDescent="0.2">
      <c r="A237" s="45"/>
      <c r="B237" s="70" t="s">
        <v>115</v>
      </c>
      <c r="C237" s="70"/>
      <c r="D237" s="70"/>
      <c r="E237" s="70"/>
      <c r="F237" s="70"/>
      <c r="G237" s="70"/>
      <c r="H237" s="70"/>
      <c r="I237" s="70"/>
      <c r="J237" s="70"/>
    </row>
    <row r="238" spans="1:10" x14ac:dyDescent="0.2">
      <c r="B238" s="70"/>
      <c r="C238" s="70"/>
      <c r="D238" s="70"/>
      <c r="E238" s="70"/>
      <c r="F238" s="70"/>
      <c r="G238" s="70"/>
      <c r="H238" s="70"/>
      <c r="I238" s="70"/>
      <c r="J238" s="70"/>
    </row>
    <row r="239" spans="1:10" x14ac:dyDescent="0.2">
      <c r="A239" s="45"/>
      <c r="B239" s="70" t="s">
        <v>115</v>
      </c>
      <c r="C239" s="70"/>
      <c r="D239" s="70"/>
      <c r="E239" s="70"/>
      <c r="F239" s="70"/>
      <c r="G239" s="70"/>
      <c r="H239" s="70"/>
      <c r="I239" s="70"/>
      <c r="J239" s="70"/>
    </row>
    <row r="240" spans="1:10" x14ac:dyDescent="0.2">
      <c r="B240" s="70"/>
      <c r="C240" s="70"/>
      <c r="D240" s="70"/>
      <c r="E240" s="70"/>
      <c r="F240" s="70"/>
      <c r="G240" s="70"/>
      <c r="H240" s="70"/>
      <c r="I240" s="70"/>
      <c r="J240" s="70"/>
    </row>
    <row r="241" spans="1:10" x14ac:dyDescent="0.2">
      <c r="A241" s="45"/>
      <c r="B241" s="70" t="s">
        <v>115</v>
      </c>
      <c r="C241" s="70"/>
      <c r="D241" s="70"/>
      <c r="E241" s="70"/>
      <c r="F241" s="70"/>
      <c r="G241" s="70"/>
      <c r="H241" s="70"/>
      <c r="I241" s="70"/>
      <c r="J241" s="70"/>
    </row>
    <row r="242" spans="1:10" x14ac:dyDescent="0.2">
      <c r="B242" s="70"/>
      <c r="C242" s="70"/>
      <c r="D242" s="70"/>
      <c r="E242" s="70"/>
      <c r="F242" s="70"/>
      <c r="G242" s="70"/>
      <c r="H242" s="70"/>
      <c r="I242" s="70"/>
      <c r="J242" s="70"/>
    </row>
    <row r="243" spans="1:10" x14ac:dyDescent="0.2">
      <c r="A243" s="50"/>
      <c r="B243" s="50"/>
      <c r="C243" s="50"/>
      <c r="D243" s="50"/>
      <c r="E243" s="50"/>
      <c r="F243" s="50"/>
      <c r="G243" s="50"/>
      <c r="H243" s="50"/>
      <c r="I243" s="50"/>
      <c r="J243" s="50"/>
    </row>
    <row r="245" spans="1:10" x14ac:dyDescent="0.2">
      <c r="A245" s="50"/>
      <c r="B245" s="50"/>
      <c r="C245" s="50"/>
      <c r="D245" s="50"/>
      <c r="E245" s="50"/>
      <c r="F245" s="50"/>
      <c r="G245" s="50"/>
      <c r="H245" s="50"/>
      <c r="I245" s="50"/>
      <c r="J245" s="50"/>
    </row>
    <row r="246" spans="1:10" x14ac:dyDescent="0.2">
      <c r="A246" s="50"/>
      <c r="B246" s="50"/>
      <c r="C246" s="50"/>
      <c r="D246" s="50"/>
      <c r="E246" s="50"/>
      <c r="F246" s="50"/>
      <c r="G246" s="50"/>
      <c r="H246" s="50"/>
      <c r="I246" s="50"/>
      <c r="J246" s="50"/>
    </row>
    <row r="248" spans="1:10" x14ac:dyDescent="0.2">
      <c r="A248" s="50"/>
      <c r="B248" s="50"/>
      <c r="C248" s="50"/>
      <c r="D248" s="50"/>
      <c r="E248" s="50"/>
      <c r="F248" s="50"/>
      <c r="G248" s="50"/>
      <c r="H248" s="50"/>
      <c r="I248" s="50"/>
      <c r="J248" s="50"/>
    </row>
    <row r="249" spans="1:10" x14ac:dyDescent="0.2">
      <c r="A249" s="50"/>
      <c r="B249" s="50"/>
      <c r="C249" s="50"/>
      <c r="D249" s="50"/>
      <c r="E249" s="50"/>
      <c r="F249" s="50"/>
      <c r="G249" s="50"/>
      <c r="H249" s="50"/>
      <c r="I249" s="50"/>
      <c r="J249" s="50"/>
    </row>
    <row r="251" spans="1:10" x14ac:dyDescent="0.2">
      <c r="A251" s="50"/>
      <c r="B251" s="50"/>
      <c r="C251" s="50"/>
      <c r="D251" s="50"/>
      <c r="E251" s="50"/>
      <c r="F251" s="50"/>
      <c r="G251" s="50"/>
      <c r="H251" s="50"/>
      <c r="I251" s="50"/>
      <c r="J251" s="50"/>
    </row>
    <row r="252" spans="1:10" x14ac:dyDescent="0.2">
      <c r="A252" s="50"/>
      <c r="B252" s="50"/>
      <c r="C252" s="50"/>
      <c r="D252" s="50"/>
      <c r="E252" s="50"/>
      <c r="F252" s="50"/>
      <c r="G252" s="50"/>
      <c r="H252" s="50"/>
      <c r="I252" s="50"/>
      <c r="J252" s="50"/>
    </row>
    <row r="269" spans="10:10" x14ac:dyDescent="0.2">
      <c r="J269" s="57">
        <v>5</v>
      </c>
    </row>
    <row r="270" spans="10:10" x14ac:dyDescent="0.2">
      <c r="J270" s="50"/>
    </row>
  </sheetData>
  <sheetProtection algorithmName="SHA-512" hashValue="HzDOSm1mBV1abO1bkZykDWEZ5rQe53PX5iDKl/YXBTAMGCXAxYIm/wTTSfDaHgR2nLH5sIKK6y8OI5WL90pdng==" saltValue="EHzGpG3nCSCuSnanfHIORQ==" spinCount="100000" sheet="1" objects="1" scenarios="1"/>
  <mergeCells count="67">
    <mergeCell ref="F62:F65"/>
    <mergeCell ref="D81:E83"/>
    <mergeCell ref="D84:E84"/>
    <mergeCell ref="F88:G88"/>
    <mergeCell ref="H81:I83"/>
    <mergeCell ref="H84:I84"/>
    <mergeCell ref="H85:I85"/>
    <mergeCell ref="H86:I86"/>
    <mergeCell ref="H87:I87"/>
    <mergeCell ref="H88:I88"/>
    <mergeCell ref="G67:H67"/>
    <mergeCell ref="I62:J65"/>
    <mergeCell ref="I66:J66"/>
    <mergeCell ref="I67:J67"/>
    <mergeCell ref="I68:J68"/>
    <mergeCell ref="B188:J191"/>
    <mergeCell ref="D85:E85"/>
    <mergeCell ref="F81:G83"/>
    <mergeCell ref="F84:G84"/>
    <mergeCell ref="F85:G85"/>
    <mergeCell ref="D86:E86"/>
    <mergeCell ref="D87:E87"/>
    <mergeCell ref="F86:G86"/>
    <mergeCell ref="B182:J187"/>
    <mergeCell ref="B147:J150"/>
    <mergeCell ref="B175:J179"/>
    <mergeCell ref="B180:J181"/>
    <mergeCell ref="B172:J174"/>
    <mergeCell ref="B153:J154"/>
    <mergeCell ref="A85:B85"/>
    <mergeCell ref="A86:B86"/>
    <mergeCell ref="A87:B87"/>
    <mergeCell ref="A88:B88"/>
    <mergeCell ref="I70:J70"/>
    <mergeCell ref="G71:J71"/>
    <mergeCell ref="A69:B69"/>
    <mergeCell ref="A70:B70"/>
    <mergeCell ref="A71:F71"/>
    <mergeCell ref="A81:B83"/>
    <mergeCell ref="A84:B84"/>
    <mergeCell ref="I69:J69"/>
    <mergeCell ref="A2:D3"/>
    <mergeCell ref="D88:E88"/>
    <mergeCell ref="G68:H68"/>
    <mergeCell ref="G66:H66"/>
    <mergeCell ref="G62:H65"/>
    <mergeCell ref="C62:C65"/>
    <mergeCell ref="D62:D65"/>
    <mergeCell ref="E62:E65"/>
    <mergeCell ref="G69:H69"/>
    <mergeCell ref="G70:H70"/>
    <mergeCell ref="F87:G87"/>
    <mergeCell ref="A62:B65"/>
    <mergeCell ref="A66:B66"/>
    <mergeCell ref="A67:B67"/>
    <mergeCell ref="A68:B68"/>
    <mergeCell ref="C81:C83"/>
    <mergeCell ref="B123:J124"/>
    <mergeCell ref="B130:J131"/>
    <mergeCell ref="B137:J138"/>
    <mergeCell ref="B144:J145"/>
    <mergeCell ref="E114:E115"/>
    <mergeCell ref="B113:C115"/>
    <mergeCell ref="D113:E113"/>
    <mergeCell ref="D114:D115"/>
    <mergeCell ref="B116:C116"/>
    <mergeCell ref="B117:C117"/>
  </mergeCells>
  <pageMargins left="1" right="0" top="0" bottom="0" header="0" footer="0"/>
  <pageSetup scale="95" orientation="portrait" r:id="rId1"/>
  <headerFooter>
    <firstHeader xml:space="preserve">&amp;L&amp;"Arial Narrow,Bold"&amp;14
Ilustrasi TM Invest Pro&amp;R&amp;G       </firstHeader>
    <firstFooter>&amp;L&amp;"Arial Narrow,Regular"&amp;9Nama/ Kode Financial Consultant       &amp;8 &amp;9: 
Nama Kantor Pemasaran                     :
Tanggal                              &amp;8  &amp;9           &amp;8 &amp;9   &amp;7  &amp;9: &amp;D&amp;R&amp;P</firstFooter>
  </headerFooter>
  <rowBreaks count="2" manualBreakCount="2">
    <brk id="53" max="16383" man="1"/>
    <brk id="218" max="16383" man="1"/>
  </row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24</vt:i4>
      </vt:variant>
    </vt:vector>
  </HeadingPairs>
  <TitlesOfParts>
    <vt:vector size="28" baseType="lpstr">
      <vt:lpstr>Input</vt:lpstr>
      <vt:lpstr>Job</vt:lpstr>
      <vt:lpstr>For Output</vt:lpstr>
      <vt:lpstr>Output</vt:lpstr>
      <vt:lpstr>Data_Output</vt:lpstr>
      <vt:lpstr>FC_Code</vt:lpstr>
      <vt:lpstr>FC_Name</vt:lpstr>
      <vt:lpstr>Footer</vt:lpstr>
      <vt:lpstr>In_Age</vt:lpstr>
      <vt:lpstr>In_DoB</vt:lpstr>
      <vt:lpstr>In_Job</vt:lpstr>
      <vt:lpstr>In_Name</vt:lpstr>
      <vt:lpstr>In_Output</vt:lpstr>
      <vt:lpstr>In_Sex</vt:lpstr>
      <vt:lpstr>Job</vt:lpstr>
      <vt:lpstr>Office</vt:lpstr>
      <vt:lpstr>PH_Age</vt:lpstr>
      <vt:lpstr>PH_DoB</vt:lpstr>
      <vt:lpstr>PH_In</vt:lpstr>
      <vt:lpstr>PH_Job</vt:lpstr>
      <vt:lpstr>PH_Name</vt:lpstr>
      <vt:lpstr>PH_Output</vt:lpstr>
      <vt:lpstr>PH_Sex</vt:lpstr>
      <vt:lpstr>Output!Print_Area</vt:lpstr>
      <vt:lpstr>SA</vt:lpstr>
      <vt:lpstr>Single_Prem</vt:lpstr>
      <vt:lpstr>STU</vt:lpstr>
      <vt:lpstr>Total_Prem</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Marchellouis</dc:creator>
  <cp:lastModifiedBy>Yesiska Erliyana</cp:lastModifiedBy>
  <cp:lastPrinted>2018-10-11T03:31:17Z</cp:lastPrinted>
  <dcterms:created xsi:type="dcterms:W3CDTF">2018-10-05T08:27:53Z</dcterms:created>
  <dcterms:modified xsi:type="dcterms:W3CDTF">2018-10-13T06:43:10Z</dcterms:modified>
</cp:coreProperties>
</file>